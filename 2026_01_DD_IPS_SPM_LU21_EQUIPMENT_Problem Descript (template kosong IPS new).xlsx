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RTT WAVE 5 SPM\13. IPS\21\2025\10. Oktober\"/>
    </mc:Choice>
  </mc:AlternateContent>
  <bookViews>
    <workbookView xWindow="-105" yWindow="-105" windowWidth="19425" windowHeight="10305"/>
  </bookViews>
  <sheets>
    <sheet name="IPS V4.1" sheetId="3" r:id="rId1"/>
    <sheet name="BCC List" sheetId="5" r:id="rId2"/>
    <sheet name="Extraction" sheetId="4" r:id="rId3"/>
    <sheet name="LE Champion Tracking" sheetId="8" r:id="rId4"/>
    <sheet name="Cost Impact Calculator" sheetId="6" state="hidden" r:id="rId5"/>
  </sheets>
  <externalReferences>
    <externalReference r:id="rId6"/>
    <externalReference r:id="rId7"/>
    <externalReference r:id="rId8"/>
    <externalReference r:id="rId9"/>
  </externalReferences>
  <definedNames>
    <definedName name="_xlnm._FilterDatabase" localSheetId="1" hidden="1">'BCC List'!$I$5:$J$45</definedName>
    <definedName name="_Pic710">#N/A</definedName>
    <definedName name="_Pic810">#N/A</definedName>
    <definedName name="_Pic910">#N/A</definedName>
    <definedName name="a" localSheetId="0">[1]Input!#REF!</definedName>
    <definedName name="a" localSheetId="3">[1]Input!#REF!</definedName>
    <definedName name="a">[1]Input!#REF!</definedName>
    <definedName name="CEWS1" localSheetId="0">#REF!</definedName>
    <definedName name="CEWS1" localSheetId="3">#REF!</definedName>
    <definedName name="CEWS1">#REF!</definedName>
    <definedName name="CEWS10" localSheetId="0">#REF!</definedName>
    <definedName name="CEWS10">#REF!</definedName>
    <definedName name="CEWS11" localSheetId="0">#REF!</definedName>
    <definedName name="CEWS11">#REF!</definedName>
    <definedName name="CEWS12" localSheetId="0">#REF!</definedName>
    <definedName name="CEWS12">#REF!</definedName>
    <definedName name="CEWS13" localSheetId="0">#REF!</definedName>
    <definedName name="CEWS13">#REF!</definedName>
    <definedName name="CEWS14" localSheetId="0">#REF!</definedName>
    <definedName name="CEWS14">#REF!</definedName>
    <definedName name="CEWS15" localSheetId="0">#REF!</definedName>
    <definedName name="CEWS15">#REF!</definedName>
    <definedName name="CEWS2" localSheetId="0">#REF!</definedName>
    <definedName name="CEWS2">#REF!</definedName>
    <definedName name="CEWS3" localSheetId="0">#REF!</definedName>
    <definedName name="CEWS3">#REF!</definedName>
    <definedName name="CEWS4" localSheetId="0">#REF!</definedName>
    <definedName name="CEWS4">#REF!</definedName>
    <definedName name="CEWS5" localSheetId="0">#REF!</definedName>
    <definedName name="CEWS5">#REF!</definedName>
    <definedName name="CEWS6" localSheetId="0">#REF!</definedName>
    <definedName name="CEWS6">#REF!</definedName>
    <definedName name="CEWS7" localSheetId="0">#REF!</definedName>
    <definedName name="CEWS7">#REF!</definedName>
    <definedName name="CEWS8" localSheetId="0">#REF!</definedName>
    <definedName name="CEWS8">#REF!</definedName>
    <definedName name="CEWS9" localSheetId="0">#REF!</definedName>
    <definedName name="CEWS9">#REF!</definedName>
    <definedName name="CEWSH1" localSheetId="0">#REF!</definedName>
    <definedName name="CEWSH1">#REF!</definedName>
    <definedName name="CEWSH2" localSheetId="0">#REF!</definedName>
    <definedName name="CEWSH2">#REF!</definedName>
    <definedName name="CEWSH3" localSheetId="0">#REF!</definedName>
    <definedName name="CEWSH3">#REF!</definedName>
    <definedName name="CEWSH4" localSheetId="0">#REF!</definedName>
    <definedName name="CEWSH4">#REF!</definedName>
    <definedName name="CEWSH5" localSheetId="0">#REF!</definedName>
    <definedName name="CEWSH5">#REF!</definedName>
    <definedName name="CEWSMA1" localSheetId="0">#REF!</definedName>
    <definedName name="CEWSMA1">#REF!</definedName>
    <definedName name="CEWSMA2" localSheetId="0">#REF!</definedName>
    <definedName name="CEWSMA2">#REF!</definedName>
    <definedName name="CEWSMA3" localSheetId="0">#REF!</definedName>
    <definedName name="CEWSMA3">#REF!</definedName>
    <definedName name="CEWSMA4" localSheetId="0">#REF!</definedName>
    <definedName name="CEWSMA4">#REF!</definedName>
    <definedName name="CEWSMA5" localSheetId="0">#REF!</definedName>
    <definedName name="CEWSMA5">#REF!</definedName>
    <definedName name="CEWSME1" localSheetId="0">#REF!</definedName>
    <definedName name="CEWSME1">#REF!</definedName>
    <definedName name="CEWSME2" localSheetId="0">#REF!</definedName>
    <definedName name="CEWSME2">#REF!</definedName>
    <definedName name="CEWSME3" localSheetId="0">#REF!</definedName>
    <definedName name="CEWSME3">#REF!</definedName>
    <definedName name="CEWSME4" localSheetId="0">#REF!</definedName>
    <definedName name="CEWSME4">#REF!</definedName>
    <definedName name="CEWSME5" localSheetId="0">#REF!</definedName>
    <definedName name="CEWSME5">#REF!</definedName>
    <definedName name="currentstateexample">"Object 1"</definedName>
    <definedName name="d" localSheetId="0">[1]Input!#REF!</definedName>
    <definedName name="d" localSheetId="3">[1]Input!#REF!</definedName>
    <definedName name="d">[1]Input!#REF!</definedName>
    <definedName name="e" localSheetId="0">[1]Input!#REF!</definedName>
    <definedName name="e" localSheetId="3">[1]Input!#REF!</definedName>
    <definedName name="e">[1]Input!#REF!</definedName>
    <definedName name="e1clarified" localSheetId="0">'[2]Cause Entry'!#REF!</definedName>
    <definedName name="e1clarified">'[2]Cause Entry'!#REF!</definedName>
    <definedName name="e2clarified">'[2]Cause Entry'!$E$14</definedName>
    <definedName name="e3clarified">'[2]Cause Entry'!$E$16</definedName>
    <definedName name="e4clarified">'[2]Cause Entry'!$E$16</definedName>
    <definedName name="e5clarified">'[2]Cause Entry'!$E$16</definedName>
    <definedName name="h" localSheetId="0">[1]Input!#REF!</definedName>
    <definedName name="h" localSheetId="3">[1]Input!#REF!</definedName>
    <definedName name="h">[1]Input!#REF!</definedName>
    <definedName name="Jhsdf" localSheetId="0">[1]Input!#REF!</definedName>
    <definedName name="Jhsdf" localSheetId="3">[1]Input!#REF!</definedName>
    <definedName name="Jhsdf">[1]Input!#REF!</definedName>
    <definedName name="ownerlist">[3]!owner[Owner]</definedName>
    <definedName name="Phenom">'[4]Phenomena Clarification Guide'!$B$24</definedName>
    <definedName name="_xlnm.Print_Area" localSheetId="1">'BCC List'!$A$1:$J$49</definedName>
    <definedName name="_xlnm.Print_Area" localSheetId="0">'IPS V4.1'!$A$1:$AB$154</definedName>
    <definedName name="wewwe" localSheetId="0">[1]Input!#REF!</definedName>
    <definedName name="wewwe" localSheetId="3">[1]Input!#REF!</definedName>
    <definedName name="wewwe">[1]Input!#REF!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6" l="1"/>
  <c r="B30" i="6"/>
  <c r="A28" i="6"/>
  <c r="G26" i="6"/>
  <c r="G25" i="6"/>
  <c r="G24" i="6"/>
  <c r="G23" i="6"/>
  <c r="G22" i="6"/>
  <c r="G21" i="6"/>
  <c r="G20" i="6"/>
  <c r="G19" i="6"/>
  <c r="G18" i="6"/>
  <c r="G17" i="6"/>
  <c r="G16" i="6"/>
  <c r="G15" i="6"/>
  <c r="G14" i="6"/>
  <c r="G13" i="6"/>
  <c r="G12" i="6"/>
  <c r="G11" i="6"/>
  <c r="G10" i="6"/>
  <c r="G9" i="6"/>
  <c r="G8" i="6"/>
  <c r="G7" i="6"/>
  <c r="G6" i="6"/>
  <c r="G5" i="6"/>
  <c r="G4" i="6"/>
  <c r="E6" i="8"/>
  <c r="V4" i="4"/>
  <c r="U4" i="4"/>
  <c r="T4" i="4"/>
  <c r="S4" i="4"/>
  <c r="R4" i="4"/>
  <c r="Q4" i="4"/>
  <c r="P4" i="4"/>
  <c r="O4" i="4"/>
  <c r="N4" i="4"/>
  <c r="M4" i="4"/>
  <c r="L4" i="4"/>
  <c r="K4" i="4"/>
  <c r="J4" i="4"/>
  <c r="I4" i="4"/>
  <c r="G4" i="4"/>
  <c r="F4" i="4"/>
  <c r="E4" i="4"/>
  <c r="D4" i="4"/>
  <c r="M49" i="5" a="1"/>
  <c r="M49" i="5" s="1"/>
  <c r="L49" i="5" a="1"/>
  <c r="L49" i="5" s="1"/>
  <c r="N49" i="5" s="1"/>
  <c r="M48" i="5" a="1"/>
  <c r="M48" i="5" s="1"/>
  <c r="L48" i="5" a="1"/>
  <c r="L48" i="5" s="1"/>
  <c r="N48" i="5" s="1"/>
  <c r="M47" i="5" a="1"/>
  <c r="M47" i="5" s="1"/>
  <c r="L47" i="5" a="1"/>
  <c r="L47" i="5" s="1"/>
  <c r="N47" i="5" s="1"/>
  <c r="M46" i="5" a="1"/>
  <c r="M46" i="5" s="1"/>
  <c r="L46" i="5" a="1"/>
  <c r="L46" i="5" s="1"/>
  <c r="N46" i="5" s="1"/>
  <c r="M45" i="5" a="1"/>
  <c r="M45" i="5" s="1"/>
  <c r="L45" i="5" a="1"/>
  <c r="L45" i="5" s="1"/>
  <c r="N45" i="5" s="1"/>
  <c r="M44" i="5" a="1"/>
  <c r="M44" i="5" s="1"/>
  <c r="L44" i="5" a="1"/>
  <c r="L44" i="5" s="1"/>
  <c r="N44" i="5" s="1"/>
  <c r="M43" i="5" a="1"/>
  <c r="M43" i="5" s="1"/>
  <c r="L43" i="5" a="1"/>
  <c r="L43" i="5" s="1"/>
  <c r="N43" i="5" s="1"/>
  <c r="M42" i="5" a="1"/>
  <c r="M42" i="5" s="1"/>
  <c r="L42" i="5" a="1"/>
  <c r="L42" i="5" s="1"/>
  <c r="N42" i="5" s="1"/>
  <c r="M41" i="5" a="1"/>
  <c r="M41" i="5" s="1"/>
  <c r="L41" i="5" a="1"/>
  <c r="L41" i="5" s="1"/>
  <c r="N41" i="5" s="1"/>
  <c r="M40" i="5" a="1"/>
  <c r="M40" i="5" s="1"/>
  <c r="L40" i="5" a="1"/>
  <c r="L40" i="5" s="1"/>
  <c r="N40" i="5" s="1"/>
  <c r="M39" i="5" a="1"/>
  <c r="M39" i="5" s="1"/>
  <c r="L39" i="5" a="1"/>
  <c r="L39" i="5" s="1"/>
  <c r="N39" i="5" s="1"/>
  <c r="M38" i="5" a="1"/>
  <c r="M38" i="5" s="1"/>
  <c r="L38" i="5" a="1"/>
  <c r="L38" i="5" s="1"/>
  <c r="N38" i="5" s="1"/>
  <c r="M37" i="5" a="1"/>
  <c r="M37" i="5" s="1"/>
  <c r="L37" i="5" a="1"/>
  <c r="L37" i="5" s="1"/>
  <c r="N37" i="5" s="1"/>
  <c r="M36" i="5" a="1"/>
  <c r="M36" i="5" s="1"/>
  <c r="L36" i="5" a="1"/>
  <c r="L36" i="5" s="1"/>
  <c r="N36" i="5" s="1"/>
  <c r="M35" i="5" a="1"/>
  <c r="M35" i="5" s="1"/>
  <c r="L35" i="5" a="1"/>
  <c r="L35" i="5" s="1"/>
  <c r="N35" i="5" s="1"/>
  <c r="M34" i="5" a="1"/>
  <c r="M34" i="5" s="1"/>
  <c r="L34" i="5" a="1"/>
  <c r="L34" i="5" s="1"/>
  <c r="N34" i="5" s="1"/>
  <c r="M33" i="5" a="1"/>
  <c r="M33" i="5" s="1"/>
  <c r="L33" i="5" a="1"/>
  <c r="L33" i="5" s="1"/>
  <c r="N33" i="5" s="1"/>
  <c r="M32" i="5" a="1"/>
  <c r="M32" i="5" s="1"/>
  <c r="L32" i="5" a="1"/>
  <c r="L32" i="5" s="1"/>
  <c r="N32" i="5" s="1"/>
  <c r="M31" i="5" a="1"/>
  <c r="M31" i="5" s="1"/>
  <c r="L31" i="5" a="1"/>
  <c r="L31" i="5" s="1"/>
  <c r="N31" i="5" s="1"/>
  <c r="M30" i="5" a="1"/>
  <c r="M30" i="5" s="1"/>
  <c r="L30" i="5" a="1"/>
  <c r="L30" i="5" s="1"/>
  <c r="N30" i="5" s="1"/>
  <c r="M29" i="5" a="1"/>
  <c r="M29" i="5" s="1"/>
  <c r="L29" i="5" a="1"/>
  <c r="L29" i="5" s="1"/>
  <c r="N29" i="5" s="1"/>
  <c r="M28" i="5" a="1"/>
  <c r="M28" i="5" s="1"/>
  <c r="L28" i="5" a="1"/>
  <c r="L28" i="5" s="1"/>
  <c r="N28" i="5" s="1"/>
  <c r="M27" i="5" a="1"/>
  <c r="M27" i="5" s="1"/>
  <c r="L27" i="5" a="1"/>
  <c r="L27" i="5" s="1"/>
  <c r="N27" i="5" s="1"/>
  <c r="M26" i="5" a="1"/>
  <c r="M26" i="5" s="1"/>
  <c r="L26" i="5" a="1"/>
  <c r="L26" i="5" s="1"/>
  <c r="N26" i="5" s="1"/>
  <c r="M25" i="5" a="1"/>
  <c r="M25" i="5" s="1"/>
  <c r="L25" i="5" a="1"/>
  <c r="L25" i="5" s="1"/>
  <c r="N25" i="5" s="1"/>
  <c r="M24" i="5" a="1"/>
  <c r="M24" i="5" s="1"/>
  <c r="L24" i="5" a="1"/>
  <c r="L24" i="5" s="1"/>
  <c r="N24" i="5" s="1"/>
  <c r="M23" i="5" a="1"/>
  <c r="M23" i="5" s="1"/>
  <c r="L23" i="5" a="1"/>
  <c r="L23" i="5" s="1"/>
  <c r="N23" i="5" s="1"/>
  <c r="M22" i="5" a="1"/>
  <c r="M22" i="5" s="1"/>
  <c r="L22" i="5" a="1"/>
  <c r="L22" i="5" s="1"/>
  <c r="N22" i="5" s="1"/>
  <c r="M21" i="5" a="1"/>
  <c r="M21" i="5" s="1"/>
  <c r="L21" i="5" a="1"/>
  <c r="L21" i="5" s="1"/>
  <c r="N21" i="5" s="1"/>
  <c r="M20" i="5" a="1"/>
  <c r="M20" i="5" s="1"/>
  <c r="L20" i="5" a="1"/>
  <c r="L20" i="5" s="1"/>
  <c r="N20" i="5" s="1"/>
  <c r="M19" i="5" a="1"/>
  <c r="M19" i="5" s="1"/>
  <c r="L19" i="5" a="1"/>
  <c r="L19" i="5" s="1"/>
  <c r="N19" i="5" s="1"/>
  <c r="M18" i="5" a="1"/>
  <c r="M18" i="5" s="1"/>
  <c r="L18" i="5" a="1"/>
  <c r="L18" i="5" s="1"/>
  <c r="N18" i="5" s="1"/>
  <c r="M17" i="5" a="1"/>
  <c r="M17" i="5" s="1"/>
  <c r="L17" i="5" a="1"/>
  <c r="L17" i="5" s="1"/>
  <c r="N17" i="5" s="1"/>
  <c r="M16" i="5" a="1"/>
  <c r="M16" i="5" s="1"/>
  <c r="L16" i="5" a="1"/>
  <c r="L16" i="5" s="1"/>
  <c r="N16" i="5" s="1"/>
  <c r="M15" i="5" a="1"/>
  <c r="M15" i="5" s="1"/>
  <c r="L15" i="5" a="1"/>
  <c r="L15" i="5" s="1"/>
  <c r="N15" i="5" s="1"/>
  <c r="M14" i="5" a="1"/>
  <c r="M14" i="5" s="1"/>
  <c r="L14" i="5" a="1"/>
  <c r="L14" i="5" s="1"/>
  <c r="N14" i="5" s="1"/>
  <c r="L13" i="5" a="1"/>
  <c r="L13" i="5" s="1"/>
  <c r="L12" i="5" a="1"/>
  <c r="L12" i="5" s="1"/>
  <c r="L11" i="5" a="1"/>
  <c r="L11" i="5" s="1"/>
  <c r="L10" i="5" a="1"/>
  <c r="L10" i="5" s="1"/>
  <c r="L9" i="5" a="1"/>
  <c r="L9" i="5" s="1"/>
  <c r="L8" i="5" a="1"/>
  <c r="L8" i="5" s="1"/>
  <c r="L7" i="5" a="1"/>
  <c r="L7" i="5" s="1"/>
  <c r="M6" i="5" a="1"/>
  <c r="M6" i="5" s="1"/>
  <c r="L6" i="5" a="1"/>
  <c r="L6" i="5" s="1"/>
  <c r="N6" i="5" s="1"/>
  <c r="M5" i="5" a="1"/>
  <c r="M5" i="5" s="1"/>
  <c r="L5" i="5" a="1"/>
  <c r="L5" i="5" s="1"/>
  <c r="N5" i="5" s="1"/>
  <c r="M4" i="5" a="1"/>
  <c r="M4" i="5" s="1"/>
  <c r="L4" i="5" a="1"/>
  <c r="L4" i="5" s="1"/>
  <c r="N4" i="5" s="1"/>
  <c r="M3" i="5" a="1"/>
  <c r="M3" i="5" s="1"/>
  <c r="L3" i="5" a="1"/>
  <c r="L3" i="5" s="1"/>
  <c r="N3" i="5" s="1"/>
  <c r="M2" i="5" a="1"/>
  <c r="M2" i="5" s="1"/>
  <c r="L2" i="5" a="1"/>
  <c r="L2" i="5" s="1"/>
  <c r="N2" i="5" s="1"/>
  <c r="BG133" i="3"/>
  <c r="BF133" i="3"/>
  <c r="AF133" i="3"/>
  <c r="AE133" i="3"/>
  <c r="AD133" i="3"/>
  <c r="BG124" i="3"/>
  <c r="BF124" i="3"/>
  <c r="AF124" i="3"/>
  <c r="AE124" i="3"/>
  <c r="AD124" i="3"/>
  <c r="BG115" i="3"/>
  <c r="BF115" i="3"/>
  <c r="AF115" i="3"/>
  <c r="AE115" i="3"/>
  <c r="AD115" i="3"/>
  <c r="BG106" i="3"/>
  <c r="BF106" i="3"/>
  <c r="AF106" i="3"/>
  <c r="AE106" i="3"/>
  <c r="AD106" i="3"/>
  <c r="BG97" i="3"/>
  <c r="BF97" i="3"/>
  <c r="AF97" i="3"/>
  <c r="AE97" i="3"/>
  <c r="AD97" i="3"/>
  <c r="BH88" i="3"/>
  <c r="X4" i="4" s="1"/>
  <c r="BG88" i="3"/>
  <c r="BF88" i="3"/>
  <c r="AM88" i="3"/>
  <c r="AH88" i="3"/>
  <c r="AF88" i="3"/>
  <c r="AE88" i="3"/>
  <c r="C14" i="3"/>
  <c r="B29" i="6" s="1"/>
  <c r="Y150" i="3" s="1"/>
  <c r="B28" i="6" l="1"/>
  <c r="Y148" i="3" s="1"/>
  <c r="H4" i="4"/>
  <c r="O15" i="5"/>
  <c r="O19" i="5"/>
  <c r="O23" i="5"/>
  <c r="O27" i="5"/>
  <c r="O31" i="5"/>
  <c r="O35" i="5"/>
  <c r="O39" i="5"/>
  <c r="O43" i="5"/>
  <c r="O47" i="5"/>
  <c r="O16" i="5"/>
  <c r="O20" i="5"/>
  <c r="O24" i="5"/>
  <c r="O28" i="5"/>
  <c r="O32" i="5"/>
  <c r="O36" i="5"/>
  <c r="O40" i="5"/>
  <c r="O44" i="5"/>
  <c r="O48" i="5"/>
  <c r="O14" i="5"/>
  <c r="O18" i="5"/>
  <c r="O22" i="5"/>
  <c r="O26" i="5"/>
  <c r="O30" i="5"/>
  <c r="O34" i="5"/>
  <c r="O38" i="5"/>
  <c r="O42" i="5"/>
  <c r="O46" i="5"/>
  <c r="O2" i="5"/>
  <c r="O6" i="5"/>
  <c r="O3" i="5"/>
  <c r="O4" i="5"/>
  <c r="O5" i="5"/>
  <c r="O17" i="5"/>
  <c r="O21" i="5"/>
  <c r="O25" i="5"/>
  <c r="O29" i="5"/>
  <c r="O33" i="5"/>
  <c r="O37" i="5"/>
  <c r="O41" i="5"/>
  <c r="O45" i="5"/>
  <c r="O49" i="5"/>
  <c r="Y4" i="4" l="1"/>
  <c r="Q2" i="5"/>
  <c r="W4" i="4" l="1"/>
</calcChain>
</file>

<file path=xl/comments1.xml><?xml version="1.0" encoding="utf-8"?>
<comments xmlns="http://schemas.openxmlformats.org/spreadsheetml/2006/main">
  <authors>
    <author>tc={0F4E3E81-6F39-40CD-AB46-2359F976ACFE}</author>
    <author>tc={0319AB75-DC58-4EB1-9390-1F8B1C526DE1}</author>
    <author>tc={4D0902F8-05EF-4579-8CB9-EFF7611EE381}</author>
    <author>tc={AA560B20-2D90-4691-A4F1-532DEA676070}</author>
    <author>tc={FBF783D9-13A4-4256-95B4-8E6AF91A7C4B}</author>
    <author>tc={9A8FB9AA-C808-467C-BA7B-230E406E3701}</author>
    <author>tc={99B14340-28FE-47B9-AD53-62E036C3DCFF}</author>
    <author>tc={63480C89-413A-4C99-85DB-F8A5BE6A22A1}</author>
    <author>tc={8358B8CB-8184-4488-836C-914D87AE59A6}</author>
    <author>tc={426CB91C-289B-4658-BAF6-81DEB422AB24}</author>
    <author>tc={A27AF422-6038-4B75-BDE9-C0D37F44C60D}</author>
    <author>tc={9E4B4221-F775-47A0-8CFE-045CF4E436D0}</author>
    <author>tc={6913997E-C281-4B71-8C13-D62C81A563D4}</author>
    <author>tc={D2264655-2851-4838-AAF2-9C606C828F35}</author>
    <author>tc={74AE3846-3CF3-4FDA-A373-2C72E624C30F}</author>
    <author>tc={D08149B9-2040-4862-B78C-1EB18993B819}</author>
    <author>tc={DF2472BD-6364-42C8-8E14-7B0B7F19C3C6}</author>
    <author>tc={BF8E9B19-CC7E-4B2E-9380-6F7B52ABC990}</author>
    <author>tc={A4854C7A-D368-41BF-8098-B979D66BE97F}</author>
    <author>tc={A514D0A7-FCCD-4946-8253-342FF369FA17}</author>
    <author>tc={8D62BF3C-704C-434D-A003-E6BBCBF2BD08}</author>
    <author>tc={5604DC4B-B5BD-46AB-95F3-6FA543468CC0}</author>
    <author>tc={35B35A2E-EBAD-4067-ABC5-67FF77A7EAE6}</author>
    <author>tc={E4F1AE30-BFB0-4F6C-959E-93965C838258}</author>
    <author>tc={83C5C36E-543C-446B-B330-426FA8FA3101}</author>
    <author>tc={7FACBE0B-04DE-41F2-8960-5A508D45D660}</author>
    <author>tc={65DE881D-D250-4957-BE66-22A264DF711B}</author>
    <author>tc={8C89FB9C-3A5A-4E05-B0A3-C232FEAD07B8}</author>
    <author>tc={FF62B7B7-A2D7-488F-8B4B-35FA53CCC570}</author>
    <author>tc={9E945B84-C5BF-469F-BE32-240572531707}</author>
    <author>tc={C39BF7CC-985C-4343-B919-D223EF57EF6B}</author>
    <author>tc={F9424DFC-30EB-4C6F-B306-E98960293970}</author>
    <author>tc={786CE2E4-E020-4FEC-A746-D6E10CF29C9B}</author>
    <author>tc={CA733A49-7C94-47B3-A8DB-F3703A8EF1E7}</author>
    <author>tc={3872A026-A185-4F88-884E-4C1FDB20B599}</author>
    <author>tc={366B0F4A-253F-49C9-99A3-03F4C3DDA49B}</author>
    <author>tc={0C46A35A-13EA-42C4-97C4-C3462327B33A}</author>
    <author>tc={CC6430D6-9181-4FE2-964F-BF1EA37B0041}</author>
    <author>tc={DEAC0EF3-2DFF-45F1-845A-E746E23454FF}</author>
    <author>tc={5BC981C2-A98A-486C-87DE-B4DDE9263C0E}</author>
    <author>tc={09E5C619-622C-4002-88A0-A60F28009728}</author>
  </authors>
  <commentList>
    <comment ref="P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Short Date
Reply:
    Contoh : 1/31/23</t>
        </r>
      </text>
    </comment>
    <comment ref="X14"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Isi dengan ID Karyawan LE champion yang bertugas mereview IPS
</t>
        </r>
      </text>
    </comment>
    <comment ref="B19" authorId="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Message Stop/Loss Sesuai SPA/HMI
Reply:
    All Capital</t>
        </r>
      </text>
    </comment>
    <comment ref="P19" authorId="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Evidence/Failure Mode</t>
        </r>
      </text>
    </comment>
    <comment ref="C66" authorId="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6" authorId="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6" authorId="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6" authorId="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6" authorId="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67" authorId="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68" authorId="1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8" authorId="1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8" authorId="1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8" authorId="1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8" authorId="1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0" authorId="1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0" authorId="1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0" authorId="1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0" authorId="1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0" authorId="1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71" authorId="2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2" authorId="2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2" authorId="2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2" authorId="2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2" authorId="2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2" authorId="2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4" authorId="2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4" authorId="2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4" authorId="2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4" authorId="2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4" authorId="3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6" authorId="3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6" authorId="3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6" authorId="3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6" authorId="3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8" authorId="3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8" authorId="3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8" authorId="3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8" authorId="3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Y148" authorId="3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Kalau berhubungan dengan Delivery &amp; Cost : Input loss Reduction di Column X148</t>
        </r>
      </text>
    </comment>
    <comment ref="X152" authorId="4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sesuai perhitungan team QA</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<sst xmlns="http://schemas.openxmlformats.org/spreadsheetml/2006/main" count="201" uniqueCount="148">
  <si>
    <t>Initial Problem Solving (IPS)</t>
  </si>
  <si>
    <r>
      <t xml:space="preserve">1.1. </t>
    </r>
    <r>
      <rPr>
        <b/>
        <sz val="14"/>
        <color rgb="FFFFFF00"/>
        <rFont val="Calibri"/>
        <family val="2"/>
        <scheme val="minor"/>
      </rPr>
      <t>Initiate IPS:</t>
    </r>
    <r>
      <rPr>
        <b/>
        <sz val="14"/>
        <color theme="0"/>
        <rFont val="Calibri"/>
        <family val="2"/>
        <scheme val="minor"/>
      </rPr>
      <t xml:space="preserve"> Lakukan IPS jika terjadi losses besar/berulang atau salah satu pemicu berikut terpenuhi dan penyebab langsungnya tidak diketahui (Pemicu harus ditentukan secara lokal dan diikuti)</t>
    </r>
  </si>
  <si>
    <t>Insiden Kualitas?</t>
  </si>
  <si>
    <t>Line:</t>
  </si>
  <si>
    <t>LU11-ID02</t>
  </si>
  <si>
    <t>IPS ID:</t>
  </si>
  <si>
    <t>Stop berulang dalam satu shift  (e.g. &gt;20 times/shift, process failure &gt;20 min)?</t>
  </si>
  <si>
    <t>Date:</t>
  </si>
  <si>
    <t>C</t>
  </si>
  <si>
    <t xml:space="preserve">Waste atau Reject berulang dalam satu shift? atau Tren waste meningkat? </t>
  </si>
  <si>
    <t>Sporadic losses lainnya: ___________________________________________</t>
  </si>
  <si>
    <t>Technology</t>
  </si>
  <si>
    <t>Note: Untuk isu terkait EHS, harus menggunakan IPS EHS</t>
  </si>
  <si>
    <t>INITIAL PROBLEM STATEMENT</t>
  </si>
  <si>
    <t>Evidence/Failure Mode</t>
  </si>
  <si>
    <r>
      <t xml:space="preserve">1.2. </t>
    </r>
    <r>
      <rPr>
        <b/>
        <sz val="14"/>
        <color rgb="FFFFFF00"/>
        <rFont val="Calibri"/>
        <family val="2"/>
        <scheme val="minor"/>
      </rPr>
      <t>Refocus the Problem:</t>
    </r>
    <r>
      <rPr>
        <b/>
        <sz val="14"/>
        <color theme="2"/>
        <rFont val="Calibri"/>
        <family val="2"/>
        <scheme val="minor"/>
      </rPr>
      <t xml:space="preserve"> </t>
    </r>
    <r>
      <rPr>
        <b/>
        <sz val="14"/>
        <color theme="0"/>
        <rFont val="Calibri"/>
        <family val="2"/>
        <scheme val="minor"/>
      </rPr>
      <t>Selesaikan 6W2H untuk memfokuskan kembali masalah, berdasarkan apa yang sebenarnya diamati, bukan apa yang Anda duga terjadi.</t>
    </r>
  </si>
  <si>
    <t>1. What?</t>
  </si>
  <si>
    <r>
      <rPr>
        <b/>
        <sz val="12"/>
        <rFont val="Calibri"/>
        <family val="2"/>
      </rPr>
      <t xml:space="preserve">Apa yang terjadi? Apa Fenomena yang di observasi?
</t>
    </r>
    <r>
      <rPr>
        <sz val="12"/>
        <rFont val="Calibri"/>
        <family val="2"/>
        <charset val="204"/>
      </rPr>
      <t>Jelaskan yang terjadi secara akurat sesuai yang dilihat (Bukan yang seharusnya terjadi)</t>
    </r>
  </si>
  <si>
    <t>2. Where?</t>
  </si>
  <si>
    <t>Gambar (Jika Mungkin) Fenomena yang di observasi (Kondisi Saat Ini) dan Kondisi ideal ditempat masalah terjadi</t>
  </si>
  <si>
    <t>3.  To Whom?</t>
  </si>
  <si>
    <t>4.  How?</t>
  </si>
  <si>
    <t>5.  Which?</t>
  </si>
  <si>
    <t>6.  When?</t>
  </si>
  <si>
    <t>7.  Who?</t>
  </si>
  <si>
    <t>8.  How Much?</t>
  </si>
  <si>
    <t>NEW REFOCUSED PROBLEM STATEMENT 
Sekarang jelaskan se-detail mungkin masalah berdasarkan observasi lewat 6W2H (Apa yang terjadi secara fisik/ atau harusnya tidak terjadi) dan Periksa apa ada trouble shooting guide yang spesifik dengan masalah yang terjadi</t>
  </si>
  <si>
    <r>
      <rPr>
        <b/>
        <sz val="14"/>
        <color rgb="FFFFFFFF"/>
        <rFont val="Calibri"/>
        <family val="2"/>
        <scheme val="minor"/>
      </rPr>
      <t xml:space="preserve">1.4. </t>
    </r>
    <r>
      <rPr>
        <b/>
        <sz val="14"/>
        <color rgb="FFFFFF00"/>
        <rFont val="Calibri"/>
        <family val="2"/>
        <scheme val="minor"/>
      </rPr>
      <t>Restore Base Condition</t>
    </r>
    <r>
      <rPr>
        <b/>
        <sz val="14"/>
        <color rgb="FFFFFFFF"/>
        <rFont val="Calibri"/>
        <family val="2"/>
        <scheme val="minor"/>
      </rPr>
      <t>: Jika terjadi masalah pada sistem, silahkan isi table dibawah:</t>
    </r>
  </si>
  <si>
    <r>
      <rPr>
        <sz val="14"/>
        <color theme="9"/>
        <rFont val="Calibri"/>
        <family val="2"/>
        <scheme val="minor"/>
      </rPr>
      <t>OK: Standard tersedia, diperbarui dan diikuti</t>
    </r>
    <r>
      <rPr>
        <sz val="14"/>
        <color rgb="FF0070C0"/>
        <rFont val="Calibri"/>
        <family val="2"/>
        <scheme val="minor"/>
      </rPr>
      <t xml:space="preserve">
</t>
    </r>
    <r>
      <rPr>
        <sz val="14"/>
        <color rgb="FFFF0000"/>
        <rFont val="Calibri"/>
        <family val="2"/>
        <scheme val="minor"/>
      </rPr>
      <t>NOK: Masalah pada sistem (standard tidak tersedia, tidak diikuti, tidak diperbarui)</t>
    </r>
    <r>
      <rPr>
        <sz val="14"/>
        <color rgb="FF0070C0"/>
        <rFont val="Calibri"/>
        <family val="2"/>
        <scheme val="minor"/>
      </rPr>
      <t xml:space="preserve">
</t>
    </r>
    <r>
      <rPr>
        <sz val="14"/>
        <color theme="0" tint="-0.499984740745262"/>
        <rFont val="Calibri"/>
        <family val="2"/>
        <scheme val="minor"/>
      </rPr>
      <t>NA: Sistem tidak berlaku</t>
    </r>
  </si>
  <si>
    <t>Standar mana yang tidak ada atau membutuhkan pembaruan?</t>
  </si>
  <si>
    <t>Responsible</t>
  </si>
  <si>
    <t>Due date</t>
  </si>
  <si>
    <t>NOK</t>
  </si>
  <si>
    <t>NA</t>
  </si>
  <si>
    <r>
      <rPr>
        <b/>
        <sz val="14"/>
        <color rgb="FF000000"/>
        <rFont val="Calibri"/>
        <family val="2"/>
      </rPr>
      <t>AM Cleaning, Inspection and Lubrication (CIL)</t>
    </r>
    <r>
      <rPr>
        <sz val="14"/>
        <color rgb="FF000000"/>
        <rFont val="Calibri"/>
        <family val="2"/>
      </rPr>
      <t>: Periksa apakah area tersebut bersih dan komponen dilumasi sesuai standar. Apakah setiap tugas CIL yang terkait dengan masalah telah 100% dilakukan?</t>
    </r>
  </si>
  <si>
    <r>
      <rPr>
        <b/>
        <sz val="14"/>
        <color rgb="FF000000"/>
        <rFont val="Calibri"/>
        <family val="2"/>
      </rPr>
      <t>AM Defect Handling (DH)</t>
    </r>
    <r>
      <rPr>
        <sz val="14"/>
        <color rgb="FF000000"/>
        <rFont val="Calibri"/>
        <family val="2"/>
      </rPr>
      <t>: Apakah peralatan bebas dari defect?  cek DH Log dan pastikan tidak ada komponen yang defect (misal. gauges tidak terkalibrasi, tipe baut yang salah dll.)</t>
    </r>
  </si>
  <si>
    <r>
      <rPr>
        <b/>
        <sz val="14"/>
        <color rgb="FF000000"/>
        <rFont val="Calibri"/>
        <family val="2"/>
      </rPr>
      <t>AM Centerlines (CL)</t>
    </r>
    <r>
      <rPr>
        <sz val="14"/>
        <color rgb="FF000000"/>
        <rFont val="Calibri"/>
        <family val="2"/>
      </rPr>
      <t>: Apakah semua CL sudah ada dan sesuai dengan target?</t>
    </r>
  </si>
  <si>
    <r>
      <rPr>
        <b/>
        <sz val="14"/>
        <color rgb="FF000000"/>
        <rFont val="Calibri"/>
        <family val="2"/>
        <charset val="204"/>
      </rPr>
      <t>PM:</t>
    </r>
    <r>
      <rPr>
        <sz val="14"/>
        <color rgb="FF000000"/>
        <rFont val="Calibri"/>
        <family val="2"/>
      </rPr>
      <t xml:space="preserve"> Kegiatan Maintenance dieksekusi sesuai dengan standard?</t>
    </r>
  </si>
  <si>
    <r>
      <rPr>
        <b/>
        <sz val="14"/>
        <color rgb="FF000000"/>
        <rFont val="Calibri"/>
        <family val="2"/>
        <charset val="204"/>
      </rPr>
      <t xml:space="preserve">WPI: </t>
    </r>
    <r>
      <rPr>
        <sz val="14"/>
        <color rgb="FF000000"/>
        <rFont val="Calibri"/>
        <family val="2"/>
        <charset val="204"/>
      </rPr>
      <t>Metode Operasi dilakukan sesuai standard (i.e. praktik kerja yang aman, kualitas sesuai). Visual control tidak menunjukan penyimpangan.</t>
    </r>
  </si>
  <si>
    <r>
      <rPr>
        <b/>
        <sz val="14"/>
        <color rgb="FF000000"/>
        <rFont val="Calibri"/>
        <family val="2"/>
        <charset val="204"/>
      </rPr>
      <t>WPI:</t>
    </r>
    <r>
      <rPr>
        <sz val="14"/>
        <color rgb="FF000000"/>
        <rFont val="Calibri"/>
        <family val="2"/>
      </rPr>
      <t xml:space="preserve"> Aktifitas Changeover dieksekusi sesuai dengan standard?</t>
    </r>
  </si>
  <si>
    <r>
      <rPr>
        <b/>
        <sz val="14"/>
        <color rgb="FF000000"/>
        <rFont val="Calibri"/>
        <family val="2"/>
        <charset val="204"/>
      </rPr>
      <t>Quality:</t>
    </r>
    <r>
      <rPr>
        <sz val="14"/>
        <color rgb="FF000000"/>
        <rFont val="Calibri"/>
        <family val="2"/>
      </rPr>
      <t xml:space="preserve"> Material bebas cacat dan sesuai spesifikasi? 
Apakah ada Quality flag di area yang bermasalah dan belum di close? Jika iya, apakah berdampak pada losses. (i.e. control system tidak bekerja, cacat visual pada produk, dll)</t>
    </r>
  </si>
  <si>
    <t>* Before creating a new standard, please ensure that all the existing systems are in standard. Take into account that new standards will require additional validations not covered in IPS</t>
  </si>
  <si>
    <r>
      <t xml:space="preserve">1.5. </t>
    </r>
    <r>
      <rPr>
        <b/>
        <sz val="14"/>
        <color rgb="FFFFFF00"/>
        <rFont val="Calibri"/>
        <family val="2"/>
        <scheme val="minor"/>
      </rPr>
      <t xml:space="preserve">Ask WHY WHY?: </t>
    </r>
    <r>
      <rPr>
        <b/>
        <sz val="14"/>
        <color theme="0"/>
        <rFont val="Calibri"/>
        <family val="2"/>
        <charset val="204"/>
        <scheme val="minor"/>
      </rPr>
      <t>Tanyakan kenapa deviasi dari standard terjadi?</t>
    </r>
  </si>
  <si>
    <r>
      <rPr>
        <b/>
        <sz val="11"/>
        <rFont val="Calibri"/>
        <family val="2"/>
        <scheme val="minor"/>
      </rPr>
      <t>WHAT?</t>
    </r>
    <r>
      <rPr>
        <sz val="11"/>
        <rFont val="Calibri"/>
        <family val="2"/>
        <scheme val="minor"/>
      </rPr>
      <t xml:space="preserve">
(Penyebab; semua yang terbukti "Benar/True")</t>
    </r>
  </si>
  <si>
    <r>
      <rPr>
        <b/>
        <sz val="12"/>
        <rFont val="Calibri"/>
        <family val="2"/>
      </rPr>
      <t>WHY? (1)</t>
    </r>
    <r>
      <rPr>
        <sz val="12"/>
        <rFont val="Calibri"/>
        <family val="2"/>
      </rPr>
      <t xml:space="preserve">
Penyebab langsung yang ditemukan</t>
    </r>
  </si>
  <si>
    <t>T/F</t>
  </si>
  <si>
    <t>WHY? (2)</t>
  </si>
  <si>
    <t>WHY? (3)</t>
  </si>
  <si>
    <t>WHY? (4)</t>
  </si>
  <si>
    <t>WHY? (5)</t>
  </si>
  <si>
    <t>Due Date</t>
  </si>
  <si>
    <t>Reapplicable (Y/N)</t>
  </si>
  <si>
    <r>
      <rPr>
        <b/>
        <sz val="14"/>
        <color rgb="FFFFFFFF"/>
        <rFont val="Calibri"/>
        <family val="2"/>
      </rPr>
      <t xml:space="preserve">1.6. </t>
    </r>
    <r>
      <rPr>
        <b/>
        <sz val="14"/>
        <color rgb="FFFFFF00"/>
        <rFont val="Calibri"/>
        <family val="2"/>
      </rPr>
      <t>Check the Quality of the IPS</t>
    </r>
    <r>
      <rPr>
        <b/>
        <sz val="14"/>
        <color rgb="FFFFFFFF"/>
        <rFont val="Calibri"/>
        <family val="2"/>
      </rPr>
      <t>: Untuk memutuskan apakah IPS ditutup atau perlu dilakukan UPS (Dilakukan oleh EO dengan Process Lead)</t>
    </r>
  </si>
  <si>
    <t xml:space="preserve">                                    IPS Summary and next steps</t>
  </si>
  <si>
    <t xml:space="preserve">1. Apakah root vause dari loss sudah dipahami dan tereliminasi secara berkelanjutan? Y/N : (Jika tidak lakukan IPS HC dan evaluasi apakah memerlukan UPS). </t>
  </si>
  <si>
    <t>Delivery : Loss Reduction (%/day)</t>
  </si>
  <si>
    <t>Cost Improvement</t>
  </si>
  <si>
    <t>2. Apakah dapat di reapplikasi? Yes/No. Jika Yes pastikan RM disubmit.</t>
  </si>
  <si>
    <t>Waste : Loss Reduction (Sticks/day)</t>
  </si>
  <si>
    <t>3. Apa Next step untuk sustain atau langkah selainjutnya untuk mengeliminasi loss saat ini (Lakukan IPS lainnya, inisiasi UPS)</t>
  </si>
  <si>
    <t>Quality : Loss Reduction (Total Value QI)</t>
  </si>
  <si>
    <t xml:space="preserve">DETAIL PENGECEKAN BCC IPS </t>
  </si>
  <si>
    <t>No</t>
  </si>
  <si>
    <t>Date</t>
  </si>
  <si>
    <t>Shift</t>
  </si>
  <si>
    <t>DMS/SWP</t>
  </si>
  <si>
    <t>Item Check</t>
  </si>
  <si>
    <t>Std</t>
  </si>
  <si>
    <t>Actual cek</t>
  </si>
  <si>
    <t xml:space="preserve">PIC </t>
  </si>
  <si>
    <r>
      <t xml:space="preserve">Status
</t>
    </r>
    <r>
      <rPr>
        <b/>
        <sz val="8"/>
        <color rgb="FF000000"/>
        <rFont val="Calibri"/>
        <family val="2"/>
        <charset val="204"/>
        <scheme val="minor"/>
      </rPr>
      <t>(restore to basic condition)</t>
    </r>
  </si>
  <si>
    <t>Apakah berimpact?</t>
  </si>
  <si>
    <t>Submission Date</t>
  </si>
  <si>
    <t>Dept</t>
  </si>
  <si>
    <t>LU</t>
  </si>
  <si>
    <t>Loss Category</t>
  </si>
  <si>
    <t>Loss Name</t>
  </si>
  <si>
    <t>Evidence</t>
  </si>
  <si>
    <t>What</t>
  </si>
  <si>
    <t>Where</t>
  </si>
  <si>
    <t>To Whom</t>
  </si>
  <si>
    <t>How</t>
  </si>
  <si>
    <t>Which</t>
  </si>
  <si>
    <t>When</t>
  </si>
  <si>
    <t>Who</t>
  </si>
  <si>
    <t>How Much</t>
  </si>
  <si>
    <t>Refocused Problem Statement</t>
  </si>
  <si>
    <t>BCC NoK List</t>
  </si>
  <si>
    <t>BCC NoK List Action</t>
  </si>
  <si>
    <t>Countermeasure</t>
  </si>
  <si>
    <t>All BCC List</t>
  </si>
  <si>
    <t>CM to RM</t>
  </si>
  <si>
    <t>Impact Cost</t>
  </si>
  <si>
    <t>Cost Dictionary</t>
  </si>
  <si>
    <t>Delivery</t>
  </si>
  <si>
    <t>Cost</t>
  </si>
  <si>
    <t>Linkup</t>
  </si>
  <si>
    <t>Sensitivity 1% Yearly IDR</t>
  </si>
  <si>
    <t>Format</t>
  </si>
  <si>
    <t>Cigarette</t>
  </si>
  <si>
    <t>Cost Pack</t>
  </si>
  <si>
    <t>Pack</t>
  </si>
  <si>
    <t>LU12-ID02</t>
  </si>
  <si>
    <t>LU14-ID02</t>
  </si>
  <si>
    <t>LU15-ID02</t>
  </si>
  <si>
    <t>LU16-ID02</t>
  </si>
  <si>
    <t>LU17-ID02</t>
  </si>
  <si>
    <t>LU10-ID02</t>
  </si>
  <si>
    <t>LU25-ID02</t>
  </si>
  <si>
    <t>LU26-ID02</t>
  </si>
  <si>
    <t>LU27-ID02</t>
  </si>
  <si>
    <t>LU11-ID01</t>
  </si>
  <si>
    <t>LU12-ID01</t>
  </si>
  <si>
    <t>LU13-ID01</t>
  </si>
  <si>
    <t>LU21-ID01</t>
  </si>
  <si>
    <t>LU22-ID01</t>
  </si>
  <si>
    <t>LU23-ID01</t>
  </si>
  <si>
    <t>LU16-ID01</t>
  </si>
  <si>
    <t>LU17-ID01</t>
  </si>
  <si>
    <t>LU29-ID01</t>
  </si>
  <si>
    <t>LU26-ID01</t>
  </si>
  <si>
    <t>LU28-ID01</t>
  </si>
  <si>
    <t>LU18-ID01</t>
  </si>
  <si>
    <t>LU24-ID01</t>
  </si>
  <si>
    <t>D</t>
  </si>
  <si>
    <t>Q</t>
  </si>
  <si>
    <r>
      <t xml:space="preserve">Dimana Terjadinya? Dimana Tidak Terjadi? (titik transformasi)
</t>
    </r>
    <r>
      <rPr>
        <sz val="12"/>
        <color rgb="FF000000"/>
        <rFont val="Calibri"/>
        <family val="2"/>
        <charset val="204"/>
      </rPr>
      <t>Jelaskan indikasi se-detail mungkin terkait dimana masalah terjadi (dimana transformasi tempat masalah terjadi).</t>
    </r>
    <r>
      <rPr>
        <b/>
        <sz val="12"/>
        <color rgb="FF000000"/>
        <rFont val="Calibri"/>
        <family val="2"/>
      </rPr>
      <t xml:space="preserve">
</t>
    </r>
    <r>
      <rPr>
        <sz val="12"/>
        <color rgb="FF000000"/>
        <rFont val="Calibri"/>
        <family val="2"/>
      </rPr>
      <t>Jelaskan titik mulai dan berakhirnya loss / poin penyebab, mengacu ke Equipment Transformation List &amp; WPA untuk line yang sudah di AM Step 4.</t>
    </r>
  </si>
  <si>
    <r>
      <rPr>
        <b/>
        <sz val="12"/>
        <color rgb="FF000000"/>
        <rFont val="Calibri"/>
        <family val="2"/>
      </rPr>
      <t xml:space="preserve">Di Area, Line, System mana yang terkena efek?
</t>
    </r>
    <r>
      <rPr>
        <sz val="12"/>
        <color rgb="FF000000"/>
        <rFont val="Calibri"/>
        <family val="2"/>
      </rPr>
      <t>Tunjukan dampak masalah yang terjadi ke area mesin / equipment / line lainnya.
Area / line / sistem mana yang terdampak?
Lakukan pengecekkan ke line lain dengan brand/format/teknologi yang sama, untuk melihata apakah masalah yang sama juga muncul / terjadi.</t>
    </r>
  </si>
  <si>
    <r>
      <t xml:space="preserve">Bagaimana masalah ini terjadi? (Keadaan sekitar terjadinya masalah)
</t>
    </r>
    <r>
      <rPr>
        <sz val="12"/>
        <color rgb="FF000000"/>
        <rFont val="Calibri"/>
        <family val="2"/>
      </rPr>
      <t>Deskripsikan detail flow proses di equipment transformation list, yang terkait dengan bukti / evidence yang ada.
Misalnya: sebelum terjadi stop, apakah ada reject konsekutif, suara yang abnormal, speed yang naik turun, material misalignment? Apakah masalah terjadi saat mesin running di target speed?</t>
    </r>
  </si>
  <si>
    <r>
      <rPr>
        <b/>
        <sz val="12"/>
        <color rgb="FF000000"/>
        <rFont val="Calibri"/>
        <family val="2"/>
      </rPr>
      <t xml:space="preserve">di Brand, SKU's, Format, Blend, Material apakah masalah terjadi? (atau yang tidak terjadi)
</t>
    </r>
    <r>
      <rPr>
        <sz val="12"/>
        <color rgb="FF000000"/>
        <rFont val="Calibri"/>
        <family val="2"/>
        <charset val="204"/>
      </rPr>
      <t>Mohon spesifikkan di brand/SKU mana issue terjadi</t>
    </r>
  </si>
  <si>
    <r>
      <rPr>
        <b/>
        <sz val="12"/>
        <color rgb="FF000000"/>
        <rFont val="Calibri"/>
        <family val="2"/>
      </rPr>
      <t xml:space="preserve">Kapan masalah terjadi?
</t>
    </r>
    <r>
      <rPr>
        <sz val="12"/>
        <color rgb="FF000000"/>
        <rFont val="Calibri"/>
        <family val="2"/>
        <charset val="204"/>
      </rPr>
      <t>Cek kondisi spesifik yang terjadi / intervensi yang dilakukan, sebelum masalah terjadi.
Apakah masalah terjadi setelah start up / stop / shutdown, apakah saat ramp up speed, saat mesin running normal?
Misalnya: setelah brand change / perbaikan DH / cleaning mesin / planned maintenance / dll....</t>
    </r>
  </si>
  <si>
    <r>
      <rPr>
        <b/>
        <sz val="12"/>
        <color rgb="FF000000"/>
        <rFont val="Calibri"/>
        <family val="2"/>
      </rPr>
      <t xml:space="preserve">Di tim atau Orang manakah masalah terjadi? Siapakah yang mendeteksi masalah?
</t>
    </r>
    <r>
      <rPr>
        <sz val="12"/>
        <color rgb="FF000000"/>
        <rFont val="Calibri"/>
        <family val="2"/>
        <charset val="204"/>
      </rPr>
      <t>Apakah masalah terjadi di shift sebelumnya?
Jika iya, di tim yang mana? System/orang Mana yang mendeteksi masalah?</t>
    </r>
  </si>
  <si>
    <r>
      <rPr>
        <b/>
        <sz val="12"/>
        <color rgb="FF000000"/>
        <rFont val="Calibri"/>
        <family val="2"/>
      </rPr>
      <t xml:space="preserve">Define quantity and frequency.
</t>
    </r>
    <r>
      <rPr>
        <sz val="12"/>
        <color rgb="FF000000"/>
        <rFont val="Calibri"/>
        <family val="2"/>
      </rPr>
      <t>Cek apakah masalah terjadi hanya di saat-saat tertentu saja / secara terus-menerus?
Jika terjadi hanya saat-saat tertentu saja, seberapa sering muncul nya? Apakah stop nya semakin bertambah / berkurang?</t>
    </r>
  </si>
  <si>
    <r>
      <t xml:space="preserve">1.3. </t>
    </r>
    <r>
      <rPr>
        <b/>
        <sz val="14"/>
        <color rgb="FFFFFF00"/>
        <rFont val="Calibri"/>
        <family val="2"/>
        <scheme val="minor"/>
      </rPr>
      <t>Verify base condition for refocused problem</t>
    </r>
    <r>
      <rPr>
        <b/>
        <sz val="14"/>
        <color theme="0"/>
        <rFont val="Calibri"/>
        <family val="2"/>
        <scheme val="minor"/>
      </rPr>
      <t xml:space="preserve"> (Mohon refer ke kolom "Where")</t>
    </r>
  </si>
  <si>
    <t>Tindakan untuk kembali ke standar / untuk memperbarui (*)</t>
  </si>
  <si>
    <r>
      <t xml:space="preserve">CAUNTERMEASURES
</t>
    </r>
    <r>
      <rPr>
        <i/>
        <sz val="12"/>
        <rFont val="Calibri"/>
        <family val="2"/>
      </rPr>
      <t>(Jika action untuk pembuatan standard baru seperti CL, CIL sudah di buat, tambahkan link Digiperf nya juga)</t>
    </r>
  </si>
  <si>
    <t>Message Stop/Loss Sesuai SPA/HMI</t>
  </si>
  <si>
    <t>LU27-ID01</t>
  </si>
  <si>
    <t>LE Champion PIC ID</t>
  </si>
  <si>
    <t>LE Champion Name</t>
  </si>
  <si>
    <t>OK</t>
  </si>
  <si>
    <t>T</t>
  </si>
  <si>
    <t>Leader owning completion: Eko Tiyen</t>
  </si>
  <si>
    <t>Date of completion:  2 Juli 2025</t>
  </si>
  <si>
    <t>rootcause dari loss sudah dipahami dan tereliminasi</t>
  </si>
  <si>
    <t>N</t>
  </si>
  <si>
    <t xml:space="preserve">Ideal
</t>
  </si>
  <si>
    <t xml:space="preserve">Current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</si>
</sst>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IDR]\ #,##0"/>
  </numFmts>
  <fonts count="67" x14ac:knownFonts="1">
    <font>
      <sz val="11"/>
      <color theme="1"/>
      <name val="Calibri"/>
      <family val="2"/>
      <scheme val="minor"/>
    </font>
    <font>
      <b/>
      <sz val="26"/>
      <color theme="0"/>
      <name val="Calibri"/>
      <family val="2"/>
      <scheme val="minor"/>
    </font>
    <font>
      <sz val="10"/>
      <name val="Arial"/>
      <family val="2"/>
    </font>
    <font>
      <b/>
      <sz val="16"/>
      <color theme="0"/>
      <name val="Calibri"/>
      <family val="2"/>
      <scheme val="minor"/>
    </font>
    <font>
      <b/>
      <sz val="14"/>
      <name val="Calibri"/>
      <family val="2"/>
      <scheme val="minor"/>
    </font>
    <font>
      <sz val="14"/>
      <color rgb="FFFF0000"/>
      <name val="Calibri"/>
      <family val="2"/>
      <scheme val="minor"/>
    </font>
    <font>
      <sz val="11"/>
      <name val="Calibri"/>
      <family val="2"/>
      <scheme val="minor"/>
    </font>
    <font>
      <sz val="12"/>
      <name val="Calibri"/>
      <family val="2"/>
      <scheme val="minor"/>
    </font>
    <font>
      <b/>
      <sz val="14"/>
      <color theme="0"/>
      <name val="Calibri"/>
      <family val="2"/>
      <scheme val="minor"/>
    </font>
    <font>
      <b/>
      <sz val="14"/>
      <color rgb="FFFFFF00"/>
      <name val="Calibri"/>
      <family val="2"/>
      <scheme val="minor"/>
    </font>
    <font>
      <sz val="16"/>
      <name val="Calibri"/>
      <family val="2"/>
      <scheme val="minor"/>
    </font>
    <font>
      <sz val="14"/>
      <name val="Calibri"/>
      <family val="2"/>
      <scheme val="minor"/>
    </font>
    <font>
      <b/>
      <sz val="12"/>
      <name val="Calibri"/>
      <family val="2"/>
    </font>
    <font>
      <sz val="12"/>
      <name val="Calibri"/>
      <family val="2"/>
    </font>
    <font>
      <b/>
      <sz val="16"/>
      <color theme="1"/>
      <name val="Calibri"/>
      <family val="2"/>
      <charset val="238"/>
    </font>
    <font>
      <sz val="9"/>
      <name val="Calibri"/>
      <family val="2"/>
    </font>
    <font>
      <b/>
      <sz val="14"/>
      <color theme="2"/>
      <name val="Calibri"/>
      <family val="2"/>
      <scheme val="minor"/>
    </font>
    <font>
      <b/>
      <sz val="14"/>
      <name val="Calibri"/>
      <family val="2"/>
    </font>
    <font>
      <sz val="14"/>
      <color rgb="FF0070C0"/>
      <name val="Calibri"/>
      <family val="2"/>
      <scheme val="minor"/>
    </font>
    <font>
      <sz val="14"/>
      <color theme="9"/>
      <name val="Calibri"/>
      <family val="2"/>
      <scheme val="minor"/>
    </font>
    <font>
      <sz val="14"/>
      <color theme="0" tint="-0.499984740745262"/>
      <name val="Calibri"/>
      <family val="2"/>
      <scheme val="minor"/>
    </font>
    <font>
      <b/>
      <sz val="14"/>
      <color theme="1"/>
      <name val="Calibri"/>
      <family val="2"/>
      <scheme val="minor"/>
    </font>
    <font>
      <sz val="14"/>
      <color theme="3" tint="0.39997558519241921"/>
      <name val="Calibri"/>
      <family val="2"/>
      <scheme val="minor"/>
    </font>
    <font>
      <sz val="14"/>
      <color theme="4"/>
      <name val="Calibri"/>
      <family val="2"/>
      <scheme val="minor"/>
    </font>
    <font>
      <sz val="14"/>
      <color theme="0"/>
      <name val="Calibri"/>
      <family val="2"/>
      <scheme val="minor"/>
    </font>
    <font>
      <sz val="16"/>
      <color theme="6"/>
      <name val="Calibri"/>
      <family val="2"/>
      <scheme val="minor"/>
    </font>
    <font>
      <sz val="16"/>
      <color theme="3" tint="0.39997558519241921"/>
      <name val="Calibri"/>
      <family val="2"/>
      <scheme val="minor"/>
    </font>
    <font>
      <sz val="16"/>
      <color theme="4"/>
      <name val="Calibri"/>
      <family val="2"/>
      <scheme val="minor"/>
    </font>
    <font>
      <sz val="14"/>
      <color rgb="FFC00000"/>
      <name val="Calibri"/>
      <family val="2"/>
      <scheme val="minor"/>
    </font>
    <font>
      <i/>
      <sz val="14"/>
      <color theme="1"/>
      <name val="Calibri"/>
      <family val="2"/>
      <scheme val="minor"/>
    </font>
    <font>
      <sz val="12"/>
      <color rgb="FF000000"/>
      <name val="Calibri"/>
      <family val="2"/>
    </font>
    <font>
      <b/>
      <sz val="12"/>
      <color rgb="FF000000"/>
      <name val="Calibri"/>
      <family val="2"/>
    </font>
    <font>
      <b/>
      <sz val="14"/>
      <color rgb="FF000000"/>
      <name val="Calibri"/>
      <family val="2"/>
    </font>
    <font>
      <sz val="14"/>
      <color rgb="FF000000"/>
      <name val="Calibri"/>
      <family val="2"/>
    </font>
    <font>
      <sz val="16"/>
      <color rgb="FF000000"/>
      <name val="Calibri"/>
      <family val="2"/>
    </font>
    <font>
      <b/>
      <sz val="16"/>
      <name val="Calibri"/>
      <family val="2"/>
    </font>
    <font>
      <b/>
      <sz val="14"/>
      <color theme="0"/>
      <name val="Calibri"/>
      <family val="2"/>
    </font>
    <font>
      <b/>
      <sz val="14"/>
      <color rgb="FFFFFF00"/>
      <name val="Calibri"/>
      <family val="2"/>
    </font>
    <font>
      <b/>
      <sz val="18"/>
      <name val="Calibri"/>
      <family val="2"/>
      <scheme val="minor"/>
    </font>
    <font>
      <b/>
      <sz val="14"/>
      <color rgb="FFFFFFFF"/>
      <name val="Calibri"/>
      <family val="2"/>
    </font>
    <font>
      <b/>
      <sz val="11"/>
      <name val="Calibri"/>
      <family val="2"/>
      <scheme val="minor"/>
    </font>
    <font>
      <sz val="11"/>
      <color theme="0"/>
      <name val="Calibri"/>
      <family val="2"/>
      <scheme val="minor"/>
    </font>
    <font>
      <b/>
      <sz val="16"/>
      <color theme="1"/>
      <name val="Calibri"/>
      <family val="2"/>
      <scheme val="minor"/>
    </font>
    <font>
      <sz val="14"/>
      <color rgb="FF000000"/>
      <name val="Calibri"/>
      <family val="2"/>
      <charset val="204"/>
    </font>
    <font>
      <i/>
      <sz val="11"/>
      <name val="Calibri"/>
      <family val="2"/>
      <scheme val="minor"/>
    </font>
    <font>
      <sz val="12"/>
      <color rgb="FF000000"/>
      <name val="Calibri"/>
      <family val="2"/>
      <charset val="204"/>
    </font>
    <font>
      <sz val="12"/>
      <name val="Calibri"/>
      <family val="2"/>
      <charset val="204"/>
    </font>
    <font>
      <b/>
      <sz val="14"/>
      <color rgb="FF000000"/>
      <name val="Calibri"/>
      <family val="2"/>
      <charset val="204"/>
    </font>
    <font>
      <b/>
      <sz val="14"/>
      <color theme="0"/>
      <name val="Calibri"/>
      <family val="2"/>
      <charset val="204"/>
      <scheme val="minor"/>
    </font>
    <font>
      <sz val="11"/>
      <color rgb="FF000000"/>
      <name val="Calibri"/>
      <family val="2"/>
      <scheme val="minor"/>
    </font>
    <font>
      <sz val="8"/>
      <name val="Calibri"/>
      <family val="2"/>
      <scheme val="minor"/>
    </font>
    <font>
      <sz val="11"/>
      <color rgb="FF000000"/>
      <name val="Calibri"/>
      <family val="2"/>
      <charset val="204"/>
    </font>
    <font>
      <b/>
      <sz val="12"/>
      <color theme="0"/>
      <name val="Calibri"/>
      <family val="2"/>
      <scheme val="minor"/>
    </font>
    <font>
      <sz val="11"/>
      <color theme="0"/>
      <name val="Calibri"/>
      <family val="2"/>
    </font>
    <font>
      <b/>
      <sz val="18"/>
      <color theme="1"/>
      <name val="Calibri"/>
      <family val="2"/>
      <scheme val="minor"/>
    </font>
    <font>
      <sz val="11"/>
      <color theme="0"/>
      <name val="Calibri"/>
      <family val="2"/>
      <charset val="204"/>
    </font>
    <font>
      <sz val="16"/>
      <name val="Calibri"/>
      <family val="2"/>
    </font>
    <font>
      <sz val="14"/>
      <name val="Calibri"/>
      <family val="2"/>
    </font>
    <font>
      <i/>
      <sz val="14"/>
      <name val="Calibri"/>
      <family val="2"/>
    </font>
    <font>
      <b/>
      <sz val="8"/>
      <color rgb="FF000000"/>
      <name val="Calibri"/>
      <family val="2"/>
      <charset val="204"/>
      <scheme val="minor"/>
    </font>
    <font>
      <b/>
      <sz val="12"/>
      <color rgb="FF000000"/>
      <name val="Calibri"/>
      <family val="2"/>
      <scheme val="minor"/>
    </font>
    <font>
      <b/>
      <sz val="12"/>
      <color theme="1"/>
      <name val="Calibri"/>
      <family val="2"/>
      <scheme val="minor"/>
    </font>
    <font>
      <b/>
      <sz val="14"/>
      <color rgb="FFFFFFFF"/>
      <name val="Calibri"/>
      <family val="2"/>
      <scheme val="minor"/>
    </font>
    <font>
      <b/>
      <sz val="14"/>
      <color theme="0"/>
      <name val="Calibri"/>
      <family val="2"/>
      <scheme val="minor"/>
    </font>
    <font>
      <i/>
      <sz val="12"/>
      <name val="Calibri"/>
      <family val="2"/>
    </font>
    <font>
      <u/>
      <sz val="11"/>
      <color theme="10"/>
      <name val="Calibri"/>
      <family val="2"/>
      <scheme val="minor"/>
    </font>
    <font>
      <sz val="14"/>
      <color theme="1"/>
      <name val="Calibri"/>
      <family val="2"/>
      <scheme val="minor"/>
    </font>
  </fonts>
  <fills count="18">
    <fill>
      <patternFill patternType="none"/>
    </fill>
    <fill>
      <patternFill patternType="gray125"/>
    </fill>
    <fill>
      <patternFill patternType="solid">
        <fgColor rgb="FFFF5050"/>
        <bgColor indexed="64"/>
      </patternFill>
    </fill>
    <fill>
      <patternFill patternType="solid">
        <fgColor rgb="FFC5D9F1"/>
        <bgColor indexed="64"/>
      </patternFill>
    </fill>
    <fill>
      <patternFill patternType="solid">
        <fgColor theme="0" tint="-4.9989318521683403E-2"/>
        <bgColor indexed="64"/>
      </patternFill>
    </fill>
    <fill>
      <patternFill patternType="solid">
        <fgColor rgb="FFC5D9F1"/>
        <bgColor rgb="FFC5D9F1"/>
      </patternFill>
    </fill>
    <fill>
      <patternFill patternType="solid">
        <fgColor rgb="FF0070C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bgColor indexed="64"/>
      </patternFill>
    </fill>
    <fill>
      <patternFill patternType="solid">
        <fgColor rgb="FF7030A0"/>
        <bgColor indexed="64"/>
      </patternFill>
    </fill>
    <fill>
      <patternFill patternType="solid">
        <fgColor theme="8" tint="0.59999389629810485"/>
        <bgColor indexed="64"/>
      </patternFill>
    </fill>
    <fill>
      <patternFill patternType="solid">
        <fgColor theme="7"/>
        <bgColor indexed="64"/>
      </patternFill>
    </fill>
    <fill>
      <patternFill patternType="solid">
        <fgColor rgb="FF002060"/>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C000"/>
        <bgColor rgb="FF000000"/>
      </patternFill>
    </fill>
  </fills>
  <borders count="35">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theme="9"/>
      </left>
      <right style="thin">
        <color theme="9"/>
      </right>
      <top style="thin">
        <color theme="9"/>
      </top>
      <bottom style="thin">
        <color theme="9"/>
      </bottom>
      <diagonal/>
    </border>
    <border>
      <left style="thin">
        <color rgb="FFFF0000"/>
      </left>
      <right style="thin">
        <color rgb="FFFF0000"/>
      </right>
      <top style="thin">
        <color rgb="FFFF0000"/>
      </top>
      <bottom style="thin">
        <color rgb="FFFF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style="medium">
        <color rgb="FF000000"/>
      </left>
      <right style="thin">
        <color auto="1"/>
      </right>
      <top style="medium">
        <color rgb="FF000000"/>
      </top>
      <bottom style="thin">
        <color auto="1"/>
      </bottom>
      <diagonal/>
    </border>
    <border>
      <left style="thin">
        <color auto="1"/>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style="thin">
        <color auto="1"/>
      </right>
      <top style="thin">
        <color auto="1"/>
      </top>
      <bottom style="thin">
        <color auto="1"/>
      </bottom>
      <diagonal/>
    </border>
    <border>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medium">
        <color rgb="FF000000"/>
      </right>
      <top style="thin">
        <color auto="1"/>
      </top>
      <bottom style="medium">
        <color rgb="FF000000"/>
      </bottom>
      <diagonal/>
    </border>
    <border>
      <left style="medium">
        <color rgb="FF000000"/>
      </left>
      <right/>
      <top style="medium">
        <color rgb="FF000000"/>
      </top>
      <bottom style="thin">
        <color auto="1"/>
      </bottom>
      <diagonal/>
    </border>
    <border>
      <left/>
      <right style="thin">
        <color auto="1"/>
      </right>
      <top style="medium">
        <color rgb="FF000000"/>
      </top>
      <bottom style="thin">
        <color auto="1"/>
      </bottom>
      <diagonal/>
    </border>
    <border>
      <left style="medium">
        <color rgb="FF000000"/>
      </left>
      <right/>
      <top style="thin">
        <color auto="1"/>
      </top>
      <bottom style="medium">
        <color rgb="FF000000"/>
      </bottom>
      <diagonal/>
    </border>
    <border>
      <left/>
      <right/>
      <top/>
      <bottom style="thin">
        <color rgb="FFFF0000"/>
      </bottom>
      <diagonal/>
    </border>
  </borders>
  <cellStyleXfs count="3">
    <xf numFmtId="0" fontId="0" fillId="0" borderId="0"/>
    <xf numFmtId="0" fontId="2" fillId="0" borderId="0"/>
    <xf numFmtId="0" fontId="65" fillId="0" borderId="0" applyNumberFormat="0" applyFill="0" applyBorder="0" applyAlignment="0" applyProtection="0"/>
  </cellStyleXfs>
  <cellXfs count="281">
    <xf numFmtId="0" fontId="0" fillId="0" borderId="0" xfId="0"/>
    <xf numFmtId="0" fontId="6" fillId="0" borderId="0" xfId="0" applyFont="1"/>
    <xf numFmtId="0" fontId="7" fillId="0" borderId="0" xfId="0" applyFont="1"/>
    <xf numFmtId="0" fontId="10" fillId="0" borderId="0" xfId="0" applyFont="1" applyAlignment="1">
      <alignment horizontal="left" vertical="center"/>
    </xf>
    <xf numFmtId="0" fontId="11" fillId="0" borderId="0" xfId="0" applyFont="1"/>
    <xf numFmtId="0" fontId="11" fillId="0" borderId="10" xfId="0" applyFont="1" applyBorder="1"/>
    <xf numFmtId="0" fontId="13" fillId="0" borderId="0" xfId="1" applyFont="1" applyAlignment="1">
      <alignment vertical="center" wrapText="1"/>
    </xf>
    <xf numFmtId="0" fontId="12" fillId="0" borderId="0" xfId="1" applyFont="1" applyAlignment="1">
      <alignment horizontal="center" vertical="center" wrapText="1"/>
    </xf>
    <xf numFmtId="0" fontId="15" fillId="0" borderId="0" xfId="1"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center" vertical="center"/>
    </xf>
    <xf numFmtId="0" fontId="22" fillId="0" borderId="0" xfId="0" applyFont="1" applyAlignment="1">
      <alignment horizontal="center" vertical="center"/>
    </xf>
    <xf numFmtId="0" fontId="4" fillId="0" borderId="0" xfId="0" applyFont="1" applyAlignment="1">
      <alignment horizontal="left" vertical="center" wrapText="1"/>
    </xf>
    <xf numFmtId="0" fontId="10" fillId="0" borderId="0" xfId="0" applyFont="1"/>
    <xf numFmtId="0" fontId="25" fillId="0" borderId="0" xfId="0" applyFont="1" applyAlignment="1">
      <alignment horizontal="center" vertical="center"/>
    </xf>
    <xf numFmtId="0" fontId="3"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10" fillId="0" borderId="0" xfId="0" applyFont="1" applyAlignment="1">
      <alignment horizontal="left" vertical="center" wrapText="1"/>
    </xf>
    <xf numFmtId="0" fontId="27" fillId="0" borderId="0" xfId="0" applyFont="1" applyAlignment="1">
      <alignment horizontal="center" vertical="top"/>
    </xf>
    <xf numFmtId="0" fontId="23" fillId="0" borderId="0" xfId="0" applyFont="1" applyAlignment="1">
      <alignment horizontal="center" vertical="top"/>
    </xf>
    <xf numFmtId="0" fontId="11" fillId="0" borderId="0" xfId="0" applyFont="1" applyAlignment="1">
      <alignment vertical="center"/>
    </xf>
    <xf numFmtId="0" fontId="11" fillId="0" borderId="0" xfId="0" applyFont="1" applyAlignment="1">
      <alignment vertical="center" wrapText="1"/>
    </xf>
    <xf numFmtId="0" fontId="19" fillId="0" borderId="0" xfId="0" applyFont="1" applyAlignment="1">
      <alignment horizontal="center" vertical="center"/>
    </xf>
    <xf numFmtId="0" fontId="28" fillId="0" borderId="0" xfId="0" applyFont="1" applyAlignment="1">
      <alignment horizontal="center" vertical="center"/>
    </xf>
    <xf numFmtId="0" fontId="20" fillId="0" borderId="0" xfId="0" applyFont="1" applyAlignment="1">
      <alignment horizontal="center" vertical="center"/>
    </xf>
    <xf numFmtId="0" fontId="11" fillId="0" borderId="0" xfId="0" applyFont="1" applyAlignment="1">
      <alignment horizontal="center" vertical="center" wrapText="1"/>
    </xf>
    <xf numFmtId="0" fontId="18" fillId="0" borderId="0" xfId="0" applyFont="1" applyAlignment="1">
      <alignment horizontal="center" vertical="center" wrapText="1"/>
    </xf>
    <xf numFmtId="0" fontId="21" fillId="0" borderId="0" xfId="0" applyFont="1" applyAlignment="1">
      <alignment horizontal="center" vertical="center" wrapText="1"/>
    </xf>
    <xf numFmtId="0" fontId="11" fillId="0" borderId="0" xfId="0" applyFont="1" applyAlignment="1">
      <alignment horizontal="left" vertical="center"/>
    </xf>
    <xf numFmtId="0" fontId="15" fillId="0" borderId="0" xfId="1" applyFont="1" applyAlignment="1">
      <alignment horizontal="center" vertical="center" wrapText="1"/>
    </xf>
    <xf numFmtId="0" fontId="6" fillId="0" borderId="0" xfId="0" applyFont="1" applyAlignment="1">
      <alignment vertical="center"/>
    </xf>
    <xf numFmtId="0" fontId="11" fillId="0" borderId="6" xfId="0" applyFont="1" applyBorder="1" applyAlignment="1">
      <alignment vertical="center"/>
    </xf>
    <xf numFmtId="0" fontId="11" fillId="0" borderId="11" xfId="0" applyFont="1" applyBorder="1"/>
    <xf numFmtId="0" fontId="11" fillId="0" borderId="12" xfId="0" applyFont="1" applyBorder="1"/>
    <xf numFmtId="0" fontId="23" fillId="0" borderId="0" xfId="0" applyFont="1" applyAlignment="1">
      <alignment horizontal="center" vertical="center"/>
    </xf>
    <xf numFmtId="0" fontId="33" fillId="0" borderId="0" xfId="0" applyFont="1" applyAlignment="1">
      <alignment horizontal="left" vertical="center" wrapText="1"/>
    </xf>
    <xf numFmtId="0" fontId="24" fillId="0" borderId="0" xfId="0" applyFont="1" applyAlignment="1">
      <alignment vertical="center"/>
    </xf>
    <xf numFmtId="0" fontId="11" fillId="0" borderId="12" xfId="0" applyFont="1" applyBorder="1" applyAlignment="1">
      <alignment horizontal="left" vertical="center" wrapText="1"/>
    </xf>
    <xf numFmtId="0" fontId="10" fillId="0" borderId="11" xfId="0" applyFont="1" applyBorder="1"/>
    <xf numFmtId="0" fontId="34" fillId="0" borderId="0" xfId="0" applyFont="1" applyAlignment="1">
      <alignment horizontal="left" vertical="center" wrapText="1"/>
    </xf>
    <xf numFmtId="0" fontId="10" fillId="0" borderId="12" xfId="0" applyFont="1" applyBorder="1" applyAlignment="1">
      <alignment horizontal="left" vertical="center" wrapText="1"/>
    </xf>
    <xf numFmtId="0" fontId="24" fillId="0" borderId="0" xfId="0" applyFont="1" applyAlignment="1">
      <alignment vertical="top"/>
    </xf>
    <xf numFmtId="0" fontId="33" fillId="0" borderId="0" xfId="0" applyFont="1" applyAlignment="1">
      <alignment vertical="center"/>
    </xf>
    <xf numFmtId="0" fontId="11" fillId="0" borderId="12" xfId="0" applyFont="1" applyBorder="1" applyAlignment="1">
      <alignment vertical="center"/>
    </xf>
    <xf numFmtId="0" fontId="10" fillId="0" borderId="4" xfId="0" applyFont="1" applyBorder="1"/>
    <xf numFmtId="0" fontId="24" fillId="0" borderId="5" xfId="0" applyFont="1" applyBorder="1" applyAlignment="1">
      <alignment vertical="center"/>
    </xf>
    <xf numFmtId="0" fontId="24" fillId="0" borderId="5" xfId="0" applyFont="1" applyBorder="1" applyAlignment="1">
      <alignment vertical="top"/>
    </xf>
    <xf numFmtId="0" fontId="33" fillId="0" borderId="5" xfId="0" applyFont="1" applyBorder="1" applyAlignment="1">
      <alignment vertical="center"/>
    </xf>
    <xf numFmtId="0" fontId="21" fillId="4" borderId="10" xfId="0" applyFont="1" applyFill="1" applyBorder="1" applyAlignment="1">
      <alignment horizontal="center" vertical="center" wrapText="1"/>
    </xf>
    <xf numFmtId="0" fontId="6" fillId="0" borderId="0" xfId="0" applyFont="1" applyAlignment="1">
      <alignment horizontal="center" vertical="center"/>
    </xf>
    <xf numFmtId="0" fontId="0" fillId="10" borderId="0" xfId="0" applyFill="1" applyAlignment="1">
      <alignment horizontal="center" vertical="center"/>
    </xf>
    <xf numFmtId="0" fontId="0" fillId="10" borderId="0" xfId="0" applyFill="1"/>
    <xf numFmtId="0" fontId="11" fillId="9" borderId="10" xfId="0" applyFont="1" applyFill="1" applyBorder="1" applyAlignment="1">
      <alignment horizontal="center" vertical="center"/>
    </xf>
    <xf numFmtId="0" fontId="24" fillId="0" borderId="0" xfId="0" applyFont="1" applyAlignment="1">
      <alignment horizontal="center" vertical="center"/>
    </xf>
    <xf numFmtId="0" fontId="11" fillId="9" borderId="0" xfId="0" applyFont="1" applyFill="1"/>
    <xf numFmtId="0" fontId="11" fillId="9" borderId="0" xfId="0" applyFont="1" applyFill="1" applyAlignment="1">
      <alignment horizontal="left" vertical="center" wrapText="1"/>
    </xf>
    <xf numFmtId="0" fontId="11" fillId="9" borderId="0" xfId="0" applyFont="1" applyFill="1" applyAlignment="1">
      <alignment horizontal="left"/>
    </xf>
    <xf numFmtId="0" fontId="10" fillId="9" borderId="0" xfId="0" applyFont="1" applyFill="1" applyAlignment="1">
      <alignment horizontal="left" vertical="center" wrapText="1"/>
    </xf>
    <xf numFmtId="0" fontId="25" fillId="9" borderId="0" xfId="0" applyFont="1" applyFill="1" applyAlignment="1">
      <alignment horizontal="center" vertical="center"/>
    </xf>
    <xf numFmtId="0" fontId="3" fillId="9" borderId="0" xfId="0" applyFont="1" applyFill="1" applyAlignment="1">
      <alignment horizontal="center" vertical="center"/>
    </xf>
    <xf numFmtId="0" fontId="26" fillId="9" borderId="0" xfId="0" applyFont="1" applyFill="1" applyAlignment="1">
      <alignment horizontal="center" vertical="center"/>
    </xf>
    <xf numFmtId="0" fontId="27" fillId="9" borderId="0" xfId="0" applyFont="1" applyFill="1" applyAlignment="1">
      <alignment horizontal="center" vertical="center"/>
    </xf>
    <xf numFmtId="0" fontId="27" fillId="9" borderId="0" xfId="0" applyFont="1" applyFill="1" applyAlignment="1">
      <alignment horizontal="left" vertical="top"/>
    </xf>
    <xf numFmtId="0" fontId="10" fillId="9" borderId="0" xfId="0" applyFont="1" applyFill="1" applyAlignment="1">
      <alignment horizontal="left"/>
    </xf>
    <xf numFmtId="0" fontId="11" fillId="9" borderId="0" xfId="0" applyFont="1" applyFill="1" applyAlignment="1">
      <alignment vertical="center" wrapText="1"/>
    </xf>
    <xf numFmtId="0" fontId="41" fillId="11" borderId="6" xfId="0" applyFont="1" applyFill="1" applyBorder="1" applyAlignment="1">
      <alignment horizontal="center" vertical="center"/>
    </xf>
    <xf numFmtId="0" fontId="41" fillId="11" borderId="18" xfId="0" applyFont="1" applyFill="1" applyBorder="1" applyAlignment="1">
      <alignment horizontal="center"/>
    </xf>
    <xf numFmtId="0" fontId="41" fillId="11" borderId="18" xfId="0" applyFont="1" applyFill="1" applyBorder="1" applyAlignment="1">
      <alignment horizontal="center" vertical="center"/>
    </xf>
    <xf numFmtId="0" fontId="41" fillId="11" borderId="4" xfId="0" applyFont="1" applyFill="1" applyBorder="1" applyAlignment="1">
      <alignment horizontal="center"/>
    </xf>
    <xf numFmtId="14" fontId="0" fillId="10" borderId="3" xfId="0" applyNumberFormat="1" applyFill="1" applyBorder="1" applyAlignment="1">
      <alignment horizontal="center" vertical="center"/>
    </xf>
    <xf numFmtId="0" fontId="0" fillId="10" borderId="16" xfId="0" applyFill="1" applyBorder="1" applyAlignment="1">
      <alignment horizontal="center" vertical="center"/>
    </xf>
    <xf numFmtId="0" fontId="0" fillId="10" borderId="16" xfId="0" applyFill="1" applyBorder="1" applyAlignment="1">
      <alignment horizontal="left" vertical="center"/>
    </xf>
    <xf numFmtId="0" fontId="0" fillId="10" borderId="16" xfId="0" applyFill="1" applyBorder="1" applyAlignment="1">
      <alignment horizontal="left" vertical="center" wrapText="1"/>
    </xf>
    <xf numFmtId="0" fontId="0" fillId="10" borderId="1" xfId="0" applyFill="1" applyBorder="1" applyAlignment="1">
      <alignment horizontal="left" vertical="center" wrapText="1"/>
    </xf>
    <xf numFmtId="0" fontId="0" fillId="0" borderId="0" xfId="0" applyAlignment="1">
      <alignment wrapText="1"/>
    </xf>
    <xf numFmtId="0" fontId="0" fillId="0" borderId="0" xfId="0" applyAlignment="1">
      <alignment vertical="center"/>
    </xf>
    <xf numFmtId="0" fontId="0" fillId="0" borderId="10" xfId="0" applyBorder="1"/>
    <xf numFmtId="0" fontId="44" fillId="0" borderId="10" xfId="0" applyFont="1" applyBorder="1" applyAlignment="1">
      <alignment horizontal="center" vertical="center"/>
    </xf>
    <xf numFmtId="15" fontId="44" fillId="0" borderId="10" xfId="0" applyNumberFormat="1" applyFont="1" applyBorder="1" applyAlignment="1">
      <alignment horizontal="center" vertical="center"/>
    </xf>
    <xf numFmtId="14" fontId="11" fillId="0" borderId="10" xfId="0" applyNumberFormat="1" applyFont="1" applyBorder="1"/>
    <xf numFmtId="0" fontId="6" fillId="0" borderId="0" xfId="0" applyFont="1" applyAlignment="1">
      <alignment horizontal="center" vertical="center" wrapText="1"/>
    </xf>
    <xf numFmtId="15" fontId="11" fillId="0" borderId="0" xfId="0" applyNumberFormat="1" applyFont="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10" borderId="17" xfId="0" applyFill="1" applyBorder="1" applyAlignment="1">
      <alignment horizontal="left" vertical="center" wrapText="1"/>
    </xf>
    <xf numFmtId="3" fontId="0" fillId="0" borderId="0" xfId="0" applyNumberFormat="1"/>
    <xf numFmtId="0" fontId="52" fillId="14" borderId="21" xfId="0" applyFont="1" applyFill="1" applyBorder="1" applyAlignment="1">
      <alignment horizontal="center" vertical="center" wrapText="1"/>
    </xf>
    <xf numFmtId="0" fontId="52" fillId="14" borderId="25" xfId="0" applyFont="1" applyFill="1" applyBorder="1" applyAlignment="1">
      <alignment horizontal="center" vertical="center" wrapText="1"/>
    </xf>
    <xf numFmtId="10" fontId="11" fillId="9" borderId="25" xfId="0" applyNumberFormat="1" applyFont="1" applyFill="1" applyBorder="1" applyAlignment="1">
      <alignment horizontal="center" vertical="center"/>
    </xf>
    <xf numFmtId="0" fontId="11" fillId="9" borderId="27" xfId="0" applyFont="1" applyFill="1" applyBorder="1" applyAlignment="1">
      <alignment horizontal="center" vertical="center"/>
    </xf>
    <xf numFmtId="0" fontId="41" fillId="11" borderId="10" xfId="0" applyFont="1" applyFill="1" applyBorder="1" applyAlignment="1">
      <alignment horizontal="center"/>
    </xf>
    <xf numFmtId="3" fontId="41" fillId="11" borderId="10" xfId="0" applyNumberFormat="1" applyFont="1" applyFill="1" applyBorder="1" applyAlignment="1">
      <alignment horizontal="center"/>
    </xf>
    <xf numFmtId="0" fontId="49" fillId="0" borderId="10" xfId="0" applyFont="1" applyBorder="1"/>
    <xf numFmtId="0" fontId="53" fillId="11" borderId="10" xfId="0" applyFont="1" applyFill="1" applyBorder="1" applyAlignment="1">
      <alignment horizontal="center"/>
    </xf>
    <xf numFmtId="0" fontId="51" fillId="0" borderId="10" xfId="0" applyFont="1" applyBorder="1"/>
    <xf numFmtId="0" fontId="41" fillId="0" borderId="0" xfId="0" applyFont="1" applyAlignment="1">
      <alignment horizontal="center"/>
    </xf>
    <xf numFmtId="3" fontId="49" fillId="0" borderId="10" xfId="0" applyNumberFormat="1" applyFont="1" applyBorder="1" applyAlignment="1">
      <alignment horizontal="center"/>
    </xf>
    <xf numFmtId="0" fontId="0" fillId="0" borderId="10" xfId="0" applyBorder="1" applyAlignment="1">
      <alignment horizontal="center"/>
    </xf>
    <xf numFmtId="0" fontId="51" fillId="0" borderId="10" xfId="0" applyFont="1" applyBorder="1" applyAlignment="1">
      <alignment horizontal="center" vertical="center"/>
    </xf>
    <xf numFmtId="0" fontId="42" fillId="16" borderId="0" xfId="0" applyFont="1" applyFill="1" applyAlignment="1">
      <alignment horizontal="center" vertical="center"/>
    </xf>
    <xf numFmtId="0" fontId="42" fillId="15" borderId="0" xfId="0" applyFont="1" applyFill="1" applyAlignment="1">
      <alignment horizontal="center" vertical="center"/>
    </xf>
    <xf numFmtId="0" fontId="42" fillId="0" borderId="0" xfId="0" applyFont="1"/>
    <xf numFmtId="0" fontId="42" fillId="0" borderId="0" xfId="0" applyFont="1" applyAlignment="1">
      <alignment horizontal="center" vertical="center"/>
    </xf>
    <xf numFmtId="0" fontId="54" fillId="0" borderId="0" xfId="0" applyFont="1"/>
    <xf numFmtId="164" fontId="42" fillId="16" borderId="0" xfId="0" applyNumberFormat="1" applyFont="1" applyFill="1" applyAlignment="1">
      <alignment horizontal="center" vertical="center"/>
    </xf>
    <xf numFmtId="164" fontId="42" fillId="15" borderId="0" xfId="0" applyNumberFormat="1" applyFont="1" applyFill="1" applyAlignment="1">
      <alignment horizontal="center" vertical="center"/>
    </xf>
    <xf numFmtId="3" fontId="42" fillId="0" borderId="0" xfId="0" applyNumberFormat="1" applyFont="1" applyAlignment="1">
      <alignment horizontal="center" vertical="center"/>
    </xf>
    <xf numFmtId="0" fontId="55" fillId="11" borderId="10" xfId="0" applyFont="1" applyFill="1" applyBorder="1" applyAlignment="1">
      <alignment horizontal="center"/>
    </xf>
    <xf numFmtId="14" fontId="11" fillId="0" borderId="10" xfId="0" applyNumberFormat="1" applyFont="1"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0" xfId="0" applyBorder="1" applyAlignment="1">
      <alignment wrapText="1"/>
    </xf>
    <xf numFmtId="0" fontId="0" fillId="0" borderId="10" xfId="0" applyBorder="1" applyAlignment="1">
      <alignment horizontal="center" wrapText="1"/>
    </xf>
    <xf numFmtId="14" fontId="0" fillId="0" borderId="10" xfId="0" applyNumberFormat="1" applyBorder="1"/>
    <xf numFmtId="164" fontId="0" fillId="10" borderId="17" xfId="0" quotePrefix="1" applyNumberFormat="1" applyFill="1" applyBorder="1" applyAlignment="1">
      <alignment horizontal="left" vertical="center" wrapText="1"/>
    </xf>
    <xf numFmtId="164" fontId="42" fillId="9" borderId="0" xfId="0" applyNumberFormat="1" applyFont="1" applyFill="1" applyAlignment="1">
      <alignment horizontal="center" vertical="center"/>
    </xf>
    <xf numFmtId="0" fontId="42" fillId="9" borderId="0" xfId="0" applyFont="1" applyFill="1" applyAlignment="1">
      <alignment horizontal="center" vertical="center"/>
    </xf>
    <xf numFmtId="0" fontId="61" fillId="13" borderId="10" xfId="0" applyFont="1" applyFill="1" applyBorder="1" applyAlignment="1">
      <alignment horizontal="center" vertical="center" wrapText="1"/>
    </xf>
    <xf numFmtId="0" fontId="60" fillId="17" borderId="3" xfId="0" applyFont="1" applyFill="1" applyBorder="1" applyAlignment="1">
      <alignment horizontal="center" vertical="center" wrapText="1"/>
    </xf>
    <xf numFmtId="0" fontId="60" fillId="17" borderId="16" xfId="0" applyFont="1" applyFill="1" applyBorder="1" applyAlignment="1">
      <alignment horizontal="center" vertical="center" wrapText="1"/>
    </xf>
    <xf numFmtId="0" fontId="0" fillId="11" borderId="0" xfId="0" applyFill="1" applyAlignment="1">
      <alignment horizontal="center" vertical="center"/>
    </xf>
    <xf numFmtId="1" fontId="0" fillId="10" borderId="0" xfId="0" applyNumberFormat="1" applyFill="1" applyAlignment="1">
      <alignment horizontal="center" vertical="center"/>
    </xf>
    <xf numFmtId="15" fontId="44" fillId="0" borderId="9" xfId="0" applyNumberFormat="1" applyFont="1" applyBorder="1" applyAlignment="1">
      <alignment horizontal="center" vertical="center"/>
    </xf>
    <xf numFmtId="0" fontId="44" fillId="0" borderId="9" xfId="0" applyFont="1" applyBorder="1" applyAlignment="1">
      <alignment horizontal="center" vertical="center"/>
    </xf>
    <xf numFmtId="0" fontId="44" fillId="0" borderId="9" xfId="0" applyFont="1" applyBorder="1" applyAlignment="1">
      <alignment horizontal="center" vertical="center" wrapText="1"/>
    </xf>
    <xf numFmtId="0" fontId="0" fillId="0" borderId="10" xfId="0" applyFont="1" applyBorder="1"/>
    <xf numFmtId="0" fontId="0" fillId="0" borderId="10" xfId="0" applyFont="1" applyBorder="1" applyAlignment="1">
      <alignment wrapText="1"/>
    </xf>
    <xf numFmtId="0" fontId="0" fillId="0" borderId="10" xfId="0" applyFont="1" applyBorder="1" applyAlignment="1">
      <alignment horizontal="center" vertical="center" wrapText="1"/>
    </xf>
    <xf numFmtId="0" fontId="0" fillId="0" borderId="10" xfId="0" applyFont="1" applyBorder="1" applyAlignment="1">
      <alignment horizontal="center" vertical="center"/>
    </xf>
    <xf numFmtId="14" fontId="0" fillId="0" borderId="10" xfId="0" applyNumberFormat="1" applyFont="1" applyBorder="1" applyAlignment="1">
      <alignment horizontal="center" vertical="center"/>
    </xf>
    <xf numFmtId="0" fontId="0" fillId="0" borderId="10" xfId="0" applyFont="1" applyBorder="1" applyAlignment="1">
      <alignment vertical="center" wrapText="1"/>
    </xf>
    <xf numFmtId="0" fontId="0" fillId="0" borderId="10" xfId="0" applyFont="1" applyBorder="1" applyAlignment="1">
      <alignment horizontal="left" vertical="center" wrapText="1"/>
    </xf>
    <xf numFmtId="0" fontId="0" fillId="0" borderId="10" xfId="0" applyFont="1" applyBorder="1" applyAlignment="1">
      <alignment horizontal="center" wrapText="1"/>
    </xf>
    <xf numFmtId="0" fontId="19" fillId="0" borderId="13" xfId="0" applyFont="1" applyFill="1" applyBorder="1" applyAlignment="1">
      <alignment horizontal="center" vertical="center"/>
    </xf>
    <xf numFmtId="0" fontId="8" fillId="0" borderId="0" xfId="0" applyFont="1" applyFill="1" applyAlignment="1">
      <alignment horizontal="center" vertical="center"/>
    </xf>
    <xf numFmtId="0" fontId="5" fillId="0" borderId="14" xfId="0" applyFont="1" applyFill="1" applyBorder="1" applyAlignment="1">
      <alignment horizontal="center" vertical="center"/>
    </xf>
    <xf numFmtId="0" fontId="22" fillId="0" borderId="0" xfId="0" applyFont="1" applyFill="1" applyAlignment="1">
      <alignment horizontal="center" vertical="center"/>
    </xf>
    <xf numFmtId="0" fontId="20" fillId="0" borderId="15" xfId="0" applyFont="1" applyFill="1" applyBorder="1" applyAlignment="1">
      <alignment horizontal="center" vertical="center"/>
    </xf>
    <xf numFmtId="0" fontId="24" fillId="0" borderId="0" xfId="0" applyFont="1" applyFill="1" applyAlignment="1">
      <alignment vertical="center"/>
    </xf>
    <xf numFmtId="0" fontId="3" fillId="0" borderId="0" xfId="0" applyFont="1" applyFill="1" applyAlignment="1">
      <alignment horizontal="center" vertical="center"/>
    </xf>
    <xf numFmtId="0" fontId="26" fillId="0" borderId="0" xfId="0" applyFont="1" applyFill="1" applyAlignment="1">
      <alignment horizontal="center" vertical="center"/>
    </xf>
    <xf numFmtId="0" fontId="44" fillId="0" borderId="9" xfId="0" applyFont="1" applyBorder="1" applyAlignment="1">
      <alignment horizontal="left" vertical="center" wrapText="1"/>
    </xf>
    <xf numFmtId="0" fontId="65" fillId="0" borderId="0" xfId="2" applyAlignment="1">
      <alignment horizontal="center" vertical="center" wrapText="1"/>
    </xf>
    <xf numFmtId="0" fontId="66" fillId="0" borderId="10" xfId="0" applyFont="1" applyBorder="1" applyAlignment="1">
      <alignment horizontal="center" vertical="center"/>
    </xf>
    <xf numFmtId="0" fontId="5" fillId="0" borderId="34" xfId="0" applyFont="1" applyBorder="1" applyAlignment="1">
      <alignment horizontal="center" vertical="center"/>
    </xf>
    <xf numFmtId="0" fontId="4" fillId="7" borderId="7" xfId="0" applyFont="1" applyFill="1" applyBorder="1" applyAlignment="1">
      <alignment horizontal="left" vertical="center" wrapText="1"/>
    </xf>
    <xf numFmtId="0" fontId="4" fillId="7" borderId="8" xfId="0" applyFont="1" applyFill="1" applyBorder="1" applyAlignment="1">
      <alignment horizontal="left" vertical="center" wrapText="1"/>
    </xf>
    <xf numFmtId="0" fontId="4" fillId="7" borderId="26" xfId="0" applyFont="1" applyFill="1" applyBorder="1" applyAlignment="1">
      <alignment horizontal="left" vertical="center" wrapText="1"/>
    </xf>
    <xf numFmtId="0" fontId="52" fillId="14" borderId="22" xfId="0" applyFont="1" applyFill="1" applyBorder="1" applyAlignment="1">
      <alignment horizontal="center" vertical="center" wrapText="1"/>
    </xf>
    <xf numFmtId="0" fontId="52" fillId="14" borderId="23" xfId="0" applyFont="1" applyFill="1" applyBorder="1" applyAlignment="1">
      <alignment horizontal="center" vertical="center" wrapText="1"/>
    </xf>
    <xf numFmtId="0" fontId="52" fillId="14" borderId="24" xfId="0" applyFont="1" applyFill="1" applyBorder="1" applyAlignment="1">
      <alignment horizontal="center" vertical="center" wrapText="1"/>
    </xf>
    <xf numFmtId="0" fontId="11" fillId="0" borderId="7" xfId="0" quotePrefix="1" applyFont="1" applyBorder="1" applyAlignment="1">
      <alignment horizontal="center" vertical="center" wrapText="1"/>
    </xf>
    <xf numFmtId="0" fontId="11" fillId="0" borderId="8" xfId="0" quotePrefix="1" applyFont="1" applyBorder="1" applyAlignment="1">
      <alignment horizontal="center" vertical="center" wrapText="1"/>
    </xf>
    <xf numFmtId="164" fontId="11" fillId="0" borderId="7" xfId="0" applyNumberFormat="1" applyFont="1" applyBorder="1" applyAlignment="1">
      <alignment horizontal="center" vertical="center"/>
    </xf>
    <xf numFmtId="164" fontId="11" fillId="0" borderId="8" xfId="0" applyNumberFormat="1" applyFont="1" applyBorder="1" applyAlignment="1">
      <alignment horizontal="center" vertical="center"/>
    </xf>
    <xf numFmtId="164" fontId="11" fillId="0" borderId="26" xfId="0" applyNumberFormat="1" applyFont="1" applyBorder="1" applyAlignment="1">
      <alignment horizontal="center" vertical="center"/>
    </xf>
    <xf numFmtId="0" fontId="11" fillId="9" borderId="10" xfId="0" applyFont="1" applyFill="1" applyBorder="1" applyAlignment="1">
      <alignment horizontal="left" vertical="center" wrapText="1"/>
    </xf>
    <xf numFmtId="0" fontId="6" fillId="0" borderId="10" xfId="0" applyFont="1" applyBorder="1" applyAlignment="1">
      <alignment horizontal="center"/>
    </xf>
    <xf numFmtId="0" fontId="1" fillId="2" borderId="0" xfId="0" applyFont="1" applyFill="1" applyAlignment="1">
      <alignment horizontal="center" vertical="center"/>
    </xf>
    <xf numFmtId="0" fontId="8" fillId="6" borderId="5" xfId="0" applyFont="1" applyFill="1" applyBorder="1" applyAlignment="1">
      <alignment horizontal="left" vertical="center" wrapText="1"/>
    </xf>
    <xf numFmtId="0" fontId="36" fillId="6" borderId="0" xfId="0" applyFont="1" applyFill="1" applyAlignment="1">
      <alignment horizontal="left" vertical="center" wrapText="1"/>
    </xf>
    <xf numFmtId="0" fontId="11" fillId="0" borderId="10" xfId="0" applyFont="1" applyBorder="1" applyAlignment="1">
      <alignment horizontal="left" vertical="center"/>
    </xf>
    <xf numFmtId="0" fontId="38" fillId="7" borderId="10" xfId="0" applyFont="1" applyFill="1" applyBorder="1" applyAlignment="1">
      <alignment horizontal="center" vertical="center" wrapText="1"/>
    </xf>
    <xf numFmtId="0" fontId="6" fillId="0" borderId="10"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6" fillId="9" borderId="18" xfId="0" applyFont="1" applyFill="1" applyBorder="1" applyAlignment="1">
      <alignment horizontal="center" vertical="center" wrapText="1"/>
    </xf>
    <xf numFmtId="15" fontId="6" fillId="0" borderId="16" xfId="0" applyNumberFormat="1" applyFont="1" applyBorder="1" applyAlignment="1">
      <alignment horizontal="center" vertical="center"/>
    </xf>
    <xf numFmtId="0" fontId="6" fillId="0" borderId="10" xfId="0" applyFont="1" applyBorder="1" applyAlignment="1">
      <alignment horizontal="center" vertical="center" wrapText="1"/>
    </xf>
    <xf numFmtId="0" fontId="6" fillId="0" borderId="10" xfId="0" quotePrefix="1"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43" fillId="0" borderId="0" xfId="0" applyFont="1" applyAlignment="1">
      <alignment horizontal="left" vertical="center" wrapText="1"/>
    </xf>
    <xf numFmtId="0" fontId="33" fillId="0" borderId="0" xfId="0" applyFont="1" applyAlignment="1">
      <alignment horizontal="left" vertical="center" wrapText="1"/>
    </xf>
    <xf numFmtId="0" fontId="33" fillId="0" borderId="12" xfId="0" applyFont="1" applyBorder="1" applyAlignment="1">
      <alignment horizontal="left" vertical="center" wrapText="1"/>
    </xf>
    <xf numFmtId="0" fontId="4"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9" xfId="0" applyFont="1" applyFill="1" applyBorder="1" applyAlignment="1">
      <alignment horizontal="left" vertical="center" wrapText="1"/>
    </xf>
    <xf numFmtId="0" fontId="21" fillId="4" borderId="7"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21" fillId="4" borderId="7" xfId="0" applyFont="1" applyFill="1" applyBorder="1" applyAlignment="1">
      <alignment horizontal="left" vertical="center" wrapText="1"/>
    </xf>
    <xf numFmtId="0" fontId="21" fillId="4" borderId="8" xfId="0" applyFont="1" applyFill="1" applyBorder="1" applyAlignment="1">
      <alignment horizontal="left" vertical="center" wrapText="1"/>
    </xf>
    <xf numFmtId="0" fontId="21" fillId="4" borderId="9" xfId="0" applyFont="1" applyFill="1" applyBorder="1" applyAlignment="1">
      <alignment horizontal="left" vertical="center" wrapText="1"/>
    </xf>
    <xf numFmtId="0" fontId="11" fillId="9" borderId="10"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0" fillId="0" borderId="7" xfId="0" applyFont="1" applyBorder="1" applyAlignment="1">
      <alignment horizontal="center" vertical="center"/>
    </xf>
    <xf numFmtId="0" fontId="10" fillId="0" borderId="9" xfId="0" applyFont="1" applyBorder="1" applyAlignment="1">
      <alignment horizontal="center" vertical="center"/>
    </xf>
    <xf numFmtId="0" fontId="11" fillId="9" borderId="7" xfId="0" applyFont="1" applyFill="1" applyBorder="1" applyAlignment="1">
      <alignment horizontal="left" vertical="center" wrapText="1"/>
    </xf>
    <xf numFmtId="0" fontId="11" fillId="9" borderId="8" xfId="0" applyFont="1" applyFill="1" applyBorder="1" applyAlignment="1">
      <alignment horizontal="left" vertical="center" wrapText="1"/>
    </xf>
    <xf numFmtId="0" fontId="11" fillId="9" borderId="9" xfId="0" applyFont="1" applyFill="1" applyBorder="1" applyAlignment="1">
      <alignment horizontal="left" vertical="center" wrapText="1"/>
    </xf>
    <xf numFmtId="0" fontId="58" fillId="0" borderId="10" xfId="1" applyFont="1" applyBorder="1" applyAlignment="1">
      <alignment horizontal="left" vertical="top" wrapText="1"/>
    </xf>
    <xf numFmtId="0" fontId="30" fillId="0" borderId="16" xfId="1" applyFont="1" applyBorder="1" applyAlignment="1">
      <alignment horizontal="left" vertical="center" wrapText="1"/>
    </xf>
    <xf numFmtId="0" fontId="32" fillId="5" borderId="16" xfId="1" applyFont="1" applyFill="1" applyBorder="1" applyAlignment="1">
      <alignment horizontal="center" vertical="center" wrapText="1"/>
    </xf>
    <xf numFmtId="0" fontId="17" fillId="3" borderId="7" xfId="1" applyFont="1" applyFill="1" applyBorder="1" applyAlignment="1">
      <alignment horizontal="center" vertical="center" wrapText="1"/>
    </xf>
    <xf numFmtId="0" fontId="17" fillId="3" borderId="8" xfId="1" applyFont="1" applyFill="1" applyBorder="1" applyAlignment="1">
      <alignment horizontal="center" vertical="center" wrapText="1"/>
    </xf>
    <xf numFmtId="0" fontId="17" fillId="3" borderId="9" xfId="1" applyFont="1" applyFill="1" applyBorder="1" applyAlignment="1">
      <alignment horizontal="center" vertical="center" wrapText="1"/>
    </xf>
    <xf numFmtId="0" fontId="31" fillId="0" borderId="7" xfId="1" applyFont="1" applyBorder="1" applyAlignment="1">
      <alignment horizontal="left" vertical="center" wrapText="1"/>
    </xf>
    <xf numFmtId="0" fontId="30" fillId="0" borderId="8" xfId="1" applyFont="1" applyBorder="1" applyAlignment="1">
      <alignment horizontal="left" vertical="center" wrapText="1"/>
    </xf>
    <xf numFmtId="0" fontId="30" fillId="0" borderId="9" xfId="1" applyFont="1" applyBorder="1" applyAlignment="1">
      <alignment horizontal="left" vertical="center" wrapText="1"/>
    </xf>
    <xf numFmtId="0" fontId="31" fillId="0" borderId="16" xfId="1" applyFont="1" applyBorder="1" applyAlignment="1">
      <alignment horizontal="left" vertical="center" wrapText="1"/>
    </xf>
    <xf numFmtId="0" fontId="32" fillId="5" borderId="1" xfId="1" applyFont="1" applyFill="1" applyBorder="1" applyAlignment="1">
      <alignment horizontal="center" vertical="center" wrapText="1"/>
    </xf>
    <xf numFmtId="0" fontId="30" fillId="0" borderId="10" xfId="1" applyFont="1" applyBorder="1" applyAlignment="1">
      <alignment horizontal="left" vertical="center" wrapText="1"/>
    </xf>
    <xf numFmtId="0" fontId="33" fillId="0" borderId="10" xfId="1" quotePrefix="1" applyFont="1" applyBorder="1" applyAlignment="1">
      <alignment horizontal="center" vertical="center" wrapText="1"/>
    </xf>
    <xf numFmtId="0" fontId="33" fillId="0" borderId="10" xfId="1" applyFont="1" applyBorder="1" applyAlignment="1">
      <alignment horizontal="center" vertical="center" wrapText="1"/>
    </xf>
    <xf numFmtId="0" fontId="57" fillId="0" borderId="10" xfId="1" quotePrefix="1" applyFont="1" applyBorder="1" applyAlignment="1">
      <alignment horizontal="center" vertical="center" wrapText="1"/>
    </xf>
    <xf numFmtId="0" fontId="57" fillId="0" borderId="10" xfId="1" applyFont="1" applyBorder="1" applyAlignment="1">
      <alignment horizontal="center" vertical="center" wrapText="1"/>
    </xf>
    <xf numFmtId="0" fontId="13" fillId="0" borderId="10" xfId="1" applyFont="1" applyBorder="1" applyAlignment="1">
      <alignment horizontal="left" vertical="center" wrapText="1"/>
    </xf>
    <xf numFmtId="0" fontId="15" fillId="0" borderId="10" xfId="1" applyFont="1" applyBorder="1" applyAlignment="1">
      <alignment horizontal="center" vertical="center" wrapText="1"/>
    </xf>
    <xf numFmtId="0" fontId="56" fillId="0" borderId="10" xfId="1" applyFont="1" applyBorder="1" applyAlignment="1">
      <alignment horizontal="center" vertical="center" wrapText="1"/>
    </xf>
    <xf numFmtId="0" fontId="12" fillId="0" borderId="0" xfId="1" applyFont="1" applyAlignment="1">
      <alignment horizontal="center" vertical="center" wrapText="1"/>
    </xf>
    <xf numFmtId="0" fontId="17" fillId="3" borderId="10" xfId="1" applyFont="1" applyFill="1" applyBorder="1" applyAlignment="1">
      <alignment horizontal="center" vertical="center" wrapText="1"/>
    </xf>
    <xf numFmtId="0" fontId="32" fillId="5" borderId="19" xfId="1" applyFont="1" applyFill="1" applyBorder="1" applyAlignment="1">
      <alignment horizontal="center" vertical="center" wrapText="1"/>
    </xf>
    <xf numFmtId="0" fontId="32" fillId="5" borderId="20" xfId="1" applyFont="1" applyFill="1" applyBorder="1" applyAlignment="1">
      <alignment horizontal="center" vertical="center" wrapText="1"/>
    </xf>
    <xf numFmtId="0" fontId="8" fillId="6" borderId="0" xfId="0" applyFont="1" applyFill="1" applyAlignment="1">
      <alignment horizontal="left" vertical="center" wrapText="1"/>
    </xf>
    <xf numFmtId="0" fontId="14" fillId="3" borderId="16" xfId="1" applyFont="1" applyFill="1" applyBorder="1" applyAlignment="1">
      <alignment horizontal="center" vertical="center" wrapText="1"/>
    </xf>
    <xf numFmtId="0" fontId="11" fillId="0" borderId="10" xfId="0" applyFont="1" applyBorder="1" applyAlignment="1">
      <alignment horizontal="left" vertical="top" wrapText="1"/>
    </xf>
    <xf numFmtId="0" fontId="11" fillId="0" borderId="10" xfId="0" applyFont="1" applyBorder="1" applyAlignment="1">
      <alignment horizontal="left" vertical="top"/>
    </xf>
    <xf numFmtId="0" fontId="29" fillId="0" borderId="0" xfId="0" applyFont="1" applyAlignment="1">
      <alignment horizontal="left" vertical="center"/>
    </xf>
    <xf numFmtId="0" fontId="11" fillId="0" borderId="16" xfId="0" applyFont="1" applyBorder="1" applyAlignment="1">
      <alignment horizontal="center" vertical="center"/>
    </xf>
    <xf numFmtId="0" fontId="11" fillId="0" borderId="18" xfId="0" applyFont="1" applyBorder="1" applyAlignment="1">
      <alignment horizontal="center" vertical="center"/>
    </xf>
    <xf numFmtId="0" fontId="11" fillId="9" borderId="1" xfId="0" applyFont="1" applyFill="1" applyBorder="1" applyAlignment="1">
      <alignment horizontal="left" vertical="center"/>
    </xf>
    <xf numFmtId="0" fontId="11" fillId="9" borderId="2" xfId="0" applyFont="1" applyFill="1" applyBorder="1" applyAlignment="1">
      <alignment horizontal="left" vertical="center"/>
    </xf>
    <xf numFmtId="0" fontId="11" fillId="9" borderId="3" xfId="0" applyFont="1" applyFill="1" applyBorder="1" applyAlignment="1">
      <alignment horizontal="left" vertical="center"/>
    </xf>
    <xf numFmtId="0" fontId="11" fillId="9" borderId="4" xfId="0" applyFont="1" applyFill="1" applyBorder="1" applyAlignment="1">
      <alignment horizontal="left" vertical="center"/>
    </xf>
    <xf numFmtId="0" fontId="11" fillId="9" borderId="5" xfId="0" applyFont="1" applyFill="1" applyBorder="1" applyAlignment="1">
      <alignment horizontal="left" vertical="center"/>
    </xf>
    <xf numFmtId="0" fontId="11" fillId="9" borderId="6" xfId="0" applyFont="1" applyFill="1" applyBorder="1" applyAlignment="1">
      <alignment horizontal="left" vertical="center"/>
    </xf>
    <xf numFmtId="14" fontId="11" fillId="9" borderId="1" xfId="0" applyNumberFormat="1" applyFont="1" applyFill="1" applyBorder="1" applyAlignment="1">
      <alignment horizontal="left" vertical="center"/>
    </xf>
    <xf numFmtId="14" fontId="11" fillId="9" borderId="2" xfId="0" applyNumberFormat="1" applyFont="1" applyFill="1" applyBorder="1" applyAlignment="1">
      <alignment horizontal="left" vertical="center"/>
    </xf>
    <xf numFmtId="14" fontId="11" fillId="9" borderId="3" xfId="0" applyNumberFormat="1" applyFont="1" applyFill="1" applyBorder="1" applyAlignment="1">
      <alignment horizontal="left" vertical="center"/>
    </xf>
    <xf numFmtId="14" fontId="11" fillId="9" borderId="4" xfId="0" applyNumberFormat="1" applyFont="1" applyFill="1" applyBorder="1" applyAlignment="1">
      <alignment horizontal="left" vertical="center"/>
    </xf>
    <xf numFmtId="14" fontId="11" fillId="9" borderId="5" xfId="0" applyNumberFormat="1" applyFont="1" applyFill="1" applyBorder="1" applyAlignment="1">
      <alignment horizontal="left" vertical="center"/>
    </xf>
    <xf numFmtId="14" fontId="11" fillId="9" borderId="6" xfId="0" applyNumberFormat="1" applyFont="1" applyFill="1" applyBorder="1" applyAlignment="1">
      <alignment horizontal="left" vertical="center"/>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56" fillId="9" borderId="10" xfId="1" applyFont="1" applyFill="1" applyBorder="1" applyAlignment="1">
      <alignment horizontal="center" vertical="center" wrapText="1"/>
    </xf>
    <xf numFmtId="0" fontId="56" fillId="9" borderId="10" xfId="1" quotePrefix="1" applyFont="1" applyFill="1" applyBorder="1" applyAlignment="1">
      <alignment horizontal="center" vertical="center" wrapText="1"/>
    </xf>
    <xf numFmtId="0" fontId="14" fillId="7" borderId="7" xfId="1" applyFont="1" applyFill="1" applyBorder="1" applyAlignment="1">
      <alignment horizontal="center" vertical="center" wrapText="1"/>
    </xf>
    <xf numFmtId="0" fontId="14" fillId="7" borderId="8" xfId="1" applyFont="1" applyFill="1" applyBorder="1" applyAlignment="1">
      <alignment horizontal="center" vertical="center" wrapText="1"/>
    </xf>
    <xf numFmtId="0" fontId="14" fillId="7" borderId="9" xfId="1" applyFont="1" applyFill="1" applyBorder="1" applyAlignment="1">
      <alignment horizontal="center" vertical="center" wrapText="1"/>
    </xf>
    <xf numFmtId="1" fontId="11" fillId="9" borderId="10" xfId="0" applyNumberFormat="1" applyFont="1" applyFill="1" applyBorder="1" applyAlignment="1">
      <alignment horizontal="center" vertical="center" wrapText="1"/>
    </xf>
    <xf numFmtId="16" fontId="6" fillId="0" borderId="16" xfId="0" applyNumberFormat="1" applyFont="1" applyBorder="1" applyAlignment="1">
      <alignment horizontal="center" vertical="center"/>
    </xf>
    <xf numFmtId="0" fontId="6" fillId="8" borderId="10" xfId="0" applyFont="1" applyFill="1" applyBorder="1" applyAlignment="1">
      <alignment horizontal="center" vertical="center" wrapText="1"/>
    </xf>
    <xf numFmtId="0" fontId="13" fillId="8" borderId="10" xfId="1" applyFont="1" applyFill="1" applyBorder="1" applyAlignment="1">
      <alignment horizontal="center" vertical="center" wrapText="1"/>
    </xf>
    <xf numFmtId="0" fontId="12" fillId="8" borderId="10" xfId="1" applyFont="1" applyFill="1" applyBorder="1" applyAlignment="1">
      <alignment horizontal="center" vertical="center" wrapText="1"/>
    </xf>
    <xf numFmtId="15" fontId="6" fillId="0" borderId="17" xfId="0" applyNumberFormat="1" applyFont="1" applyBorder="1" applyAlignment="1">
      <alignment horizontal="center" vertical="center"/>
    </xf>
    <xf numFmtId="15" fontId="6" fillId="0" borderId="18" xfId="0" applyNumberFormat="1" applyFont="1" applyBorder="1" applyAlignment="1">
      <alignment horizontal="center" vertical="center"/>
    </xf>
    <xf numFmtId="0" fontId="57" fillId="0" borderId="18" xfId="1" applyFont="1" applyBorder="1" applyAlignment="1">
      <alignment horizontal="center" vertical="center" wrapText="1"/>
    </xf>
    <xf numFmtId="0" fontId="35" fillId="3" borderId="10" xfId="1" applyFont="1" applyFill="1" applyBorder="1" applyAlignment="1">
      <alignment horizontal="center" vertical="center" wrapText="1"/>
    </xf>
    <xf numFmtId="0" fontId="56" fillId="0" borderId="10" xfId="1" quotePrefix="1" applyFont="1" applyBorder="1" applyAlignment="1">
      <alignment horizontal="center" vertical="center" wrapText="1"/>
    </xf>
    <xf numFmtId="0" fontId="63" fillId="6" borderId="0" xfId="0" applyFont="1" applyFill="1" applyAlignment="1">
      <alignment horizontal="left" vertical="center" wrapText="1"/>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52" fillId="14" borderId="7" xfId="0" applyFont="1" applyFill="1" applyBorder="1" applyAlignment="1">
      <alignment horizontal="center" vertical="center" wrapText="1"/>
    </xf>
    <xf numFmtId="0" fontId="52" fillId="14" borderId="8" xfId="0" applyFont="1" applyFill="1" applyBorder="1" applyAlignment="1">
      <alignment horizontal="center" vertical="center" wrapText="1"/>
    </xf>
    <xf numFmtId="0" fontId="52" fillId="14" borderId="26" xfId="0" applyFont="1" applyFill="1" applyBorder="1" applyAlignment="1">
      <alignment horizontal="center" vertical="center" wrapText="1"/>
    </xf>
    <xf numFmtId="0" fontId="11" fillId="0" borderId="8" xfId="0" applyFont="1" applyBorder="1" applyAlignment="1">
      <alignment horizontal="center" vertical="center" wrapText="1"/>
    </xf>
    <xf numFmtId="164" fontId="11" fillId="0" borderId="28" xfId="0" applyNumberFormat="1" applyFont="1" applyBorder="1" applyAlignment="1">
      <alignment horizontal="center" vertical="center"/>
    </xf>
    <xf numFmtId="164" fontId="11" fillId="0" borderId="29" xfId="0" applyNumberFormat="1" applyFont="1" applyBorder="1" applyAlignment="1">
      <alignment horizontal="center" vertical="center"/>
    </xf>
    <xf numFmtId="164" fontId="11" fillId="0" borderId="30" xfId="0" applyNumberFormat="1" applyFont="1" applyBorder="1" applyAlignment="1">
      <alignment horizontal="center" vertical="center"/>
    </xf>
    <xf numFmtId="0" fontId="52" fillId="14" borderId="31" xfId="0" applyFont="1" applyFill="1" applyBorder="1" applyAlignment="1">
      <alignment horizontal="center" vertical="center" wrapText="1"/>
    </xf>
    <xf numFmtId="0" fontId="52" fillId="14" borderId="32" xfId="0" applyFont="1" applyFill="1" applyBorder="1" applyAlignment="1">
      <alignment horizontal="center" vertical="center" wrapText="1"/>
    </xf>
    <xf numFmtId="164" fontId="11" fillId="9" borderId="33" xfId="0" applyNumberFormat="1" applyFont="1" applyFill="1" applyBorder="1" applyAlignment="1">
      <alignment horizontal="center" vertical="center"/>
    </xf>
    <xf numFmtId="164" fontId="11" fillId="9" borderId="29" xfId="0" applyNumberFormat="1" applyFont="1" applyFill="1" applyBorder="1" applyAlignment="1">
      <alignment horizontal="center" vertical="center"/>
    </xf>
    <xf numFmtId="164" fontId="11" fillId="9" borderId="30" xfId="0" applyNumberFormat="1" applyFont="1" applyFill="1" applyBorder="1" applyAlignment="1">
      <alignment horizontal="center" vertical="center"/>
    </xf>
    <xf numFmtId="0" fontId="6" fillId="0" borderId="8" xfId="0" applyFont="1" applyBorder="1" applyAlignment="1">
      <alignment horizontal="center" vertical="center" wrapText="1"/>
    </xf>
    <xf numFmtId="0" fontId="42" fillId="12" borderId="10" xfId="0" applyFont="1" applyFill="1" applyBorder="1" applyAlignment="1">
      <alignment horizontal="left"/>
    </xf>
    <xf numFmtId="3" fontId="41" fillId="11" borderId="7" xfId="0" applyNumberFormat="1" applyFont="1" applyFill="1" applyBorder="1" applyAlignment="1">
      <alignment horizontal="center"/>
    </xf>
    <xf numFmtId="3" fontId="41" fillId="11" borderId="8" xfId="0" applyNumberFormat="1" applyFont="1" applyFill="1" applyBorder="1" applyAlignment="1">
      <alignment horizontal="center"/>
    </xf>
    <xf numFmtId="3" fontId="41" fillId="11" borderId="9" xfId="0" applyNumberFormat="1" applyFont="1" applyFill="1" applyBorder="1" applyAlignment="1">
      <alignment horizontal="center"/>
    </xf>
    <xf numFmtId="0" fontId="41" fillId="11" borderId="4" xfId="0" applyFont="1" applyFill="1" applyBorder="1" applyAlignment="1">
      <alignment horizontal="center"/>
    </xf>
    <xf numFmtId="0" fontId="41" fillId="11" borderId="5" xfId="0" applyFont="1" applyFill="1" applyBorder="1" applyAlignment="1">
      <alignment horizontal="center"/>
    </xf>
  </cellXfs>
  <cellStyles count="3">
    <cellStyle name="Hyperlink" xfId="2" builtinId="8"/>
    <cellStyle name="Normal" xfId="0" builtinId="0"/>
    <cellStyle name="Normal 2" xfId="1"/>
  </cellStyles>
  <dxfs count="29">
    <dxf>
      <numFmt numFmtId="1" formatCode="0"/>
      <fill>
        <patternFill patternType="solid">
          <fgColor indexed="64"/>
          <bgColor theme="0"/>
        </patternFill>
      </fill>
      <alignment horizontal="center" vertical="center" textRotation="0" wrapText="0" indent="0" justifyLastLine="0" shrinkToFit="0" readingOrder="0"/>
    </dxf>
    <dxf>
      <numFmt numFmtId="1" formatCode="0"/>
      <fill>
        <patternFill patternType="solid">
          <fgColor indexed="64"/>
          <bgColor theme="0"/>
        </patternFill>
      </fill>
      <alignment horizontal="center" vertical="center" textRotation="0" wrapText="0" indent="0" justifyLastLine="0" shrinkToFit="0" readingOrder="0"/>
    </dxf>
    <dxf>
      <fill>
        <patternFill patternType="solid">
          <fgColor indexed="64"/>
          <bgColor rgb="FF7030A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numFmt numFmtId="165" formatCode="dd/mm/yyyy"/>
      <fill>
        <patternFill patternType="solid">
          <fgColor indexed="64"/>
          <bgColor theme="0"/>
        </patternFill>
      </fill>
      <alignment horizontal="center" vertical="center" textRotation="0" wrapText="0" indent="0" justifyLastLine="0" shrinkToFit="0" readingOrder="0"/>
      <border diagonalUp="0" diagonalDown="0">
        <left/>
        <right style="thin">
          <color auto="1"/>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theme="0"/>
        <name val="Calibri"/>
        <scheme val="minor"/>
      </font>
      <fill>
        <patternFill patternType="solid">
          <fgColor indexed="64"/>
          <bgColor rgb="FF7030A0"/>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Invisible" pivot="0" table="0" count="0"/>
  </tableStyles>
  <colors>
    <mruColors>
      <color rgb="FFA20000"/>
      <color rgb="FF8A0000"/>
      <color rgb="FF0064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79</xdr:row>
      <xdr:rowOff>246529</xdr:rowOff>
    </xdr:from>
    <xdr:to>
      <xdr:col>4</xdr:col>
      <xdr:colOff>201384</xdr:colOff>
      <xdr:row>82</xdr:row>
      <xdr:rowOff>141444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0537" y="25000323"/>
          <a:ext cx="949376" cy="937061"/>
        </a:xfrm>
        <a:prstGeom prst="rect">
          <a:avLst/>
        </a:prstGeom>
      </xdr:spPr>
    </xdr:pic>
    <xdr:clientData/>
  </xdr:twoCellAnchor>
  <xdr:twoCellAnchor editAs="oneCell">
    <xdr:from>
      <xdr:col>1</xdr:col>
      <xdr:colOff>104775</xdr:colOff>
      <xdr:row>0</xdr:row>
      <xdr:rowOff>104775</xdr:rowOff>
    </xdr:from>
    <xdr:to>
      <xdr:col>4</xdr:col>
      <xdr:colOff>258534</xdr:colOff>
      <xdr:row>2</xdr:row>
      <xdr:rowOff>151513</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a:stretch>
          <a:fillRect/>
        </a:stretch>
      </xdr:blipFill>
      <xdr:spPr>
        <a:xfrm>
          <a:off x="314325" y="104775"/>
          <a:ext cx="952499" cy="9325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yoffice.conagrafoods.net/rqi/rtmopdad/Document%20Repository/CIL%20Template.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Unique%20Problem%20Solving%20tool-v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sskmkrashare.id.pmi\AdminSPM$\TS%20SPM\02.%20PM%20PILLAR\05.%20MP&amp;S\2023\Wave_2\11%20-MPS%20board%20Rev.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bdc-mes001.na.pg.com:8000/Documents%20and%20Settings/TF1029/My%20Documents/6-Tps/5.Training%20material/5.Problem%20Solving/4.Problem%20solving%20simple/Cause_and_Effect_Workbook%20Renew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s"/>
      <sheetName val="Push Button Commands"/>
      <sheetName val="Copyright"/>
      <sheetName val="Instructions"/>
      <sheetName val="CustomTools"/>
      <sheetName val="dlgLineInputCode"/>
      <sheetName val="Misc Code"/>
      <sheetName val="Input"/>
      <sheetName val="InputCopy"/>
      <sheetName val="CreateCopyMacro"/>
      <sheetName val="ScheduleTemplate"/>
      <sheetName val="Language"/>
      <sheetName val="Language Change Code"/>
      <sheetName val="Startup"/>
      <sheetName val="dlgLineInput"/>
      <sheetName val="dlgGetType"/>
      <sheetName val="dlgGetFrequency"/>
      <sheetName val="dlgGetTime"/>
      <sheetName val="dlgGetMonthYear"/>
      <sheetName val="dlgCILPrint"/>
      <sheetName val="dlgScheduleSetupDays"/>
      <sheetName val="Dates"/>
      <sheetName val="dlgSetup"/>
      <sheetName val="Create Sched Macros"/>
      <sheetName val="Modify Sched Macros"/>
      <sheetName val="Misc"/>
      <sheetName val="Sheet1"/>
      <sheetName val="Support"/>
      <sheetName val="DDS weekly cella 16"/>
      <sheetName val="Data"/>
      <sheetName val="Usage condition (RUS)"/>
      <sheetName val="calcoli_appoggio"/>
      <sheetName val="Loss tree_appoggio"/>
      <sheetName val="Week Data"/>
      <sheetName val="Title + setup"/>
      <sheetName val="Push_Button_Commands"/>
      <sheetName val="Misc_Code"/>
      <sheetName val="Language_Change_Code"/>
      <sheetName val="Create_Sched_Macros"/>
      <sheetName val="Modify_Sched_Macros"/>
      <sheetName val="Usage_condition_(RUS)"/>
      <sheetName val="DDS_weekly_cella_16"/>
      <sheetName val="Push_Button_Commands2"/>
      <sheetName val="Misc_Code2"/>
      <sheetName val="Language_Change_Code2"/>
      <sheetName val="Create_Sched_Macros2"/>
      <sheetName val="Modify_Sched_Macros2"/>
      <sheetName val="Usage_condition_(RUS)2"/>
      <sheetName val="DDS_weekly_cella_162"/>
      <sheetName val="Push_Button_Commands1"/>
      <sheetName val="Misc_Code1"/>
      <sheetName val="Language_Change_Code1"/>
      <sheetName val="Create_Sched_Macros1"/>
      <sheetName val="Modify_Sched_Macros1"/>
      <sheetName val="Usage_condition_(RUS)1"/>
      <sheetName val="DDS_weekly_cella_161"/>
      <sheetName val="Push_Button_Commands3"/>
      <sheetName val="Misc_Code3"/>
      <sheetName val="Language_Change_Code3"/>
      <sheetName val="Create_Sched_Macros3"/>
      <sheetName val="Modify_Sched_Macros3"/>
      <sheetName val="Usage_condition_(RUS)3"/>
      <sheetName val="DDS_weekly_cella_163"/>
      <sheetName val="REPORT | BASELINE"/>
      <sheetName val="DMS | HEALTH CHECK"/>
      <sheetName val="DMS | ANALYSIS + CHARTS"/>
      <sheetName val="values"/>
      <sheetName val="Calculations"/>
      <sheetName val="SUMMARY REPORTS"/>
      <sheetName val="FORECAST IN DOLLARS"/>
      <sheetName val="Usage Condition DL"/>
      <sheetName val="Defined Names"/>
      <sheetName val="Inst"/>
      <sheetName val="Working"/>
      <sheetName val="Setup"/>
      <sheetName val="Assumptions"/>
      <sheetName val="Sheet2"/>
      <sheetName val="EHSPMPL.101.Z1"/>
      <sheetName val="Admin"/>
      <sheetName val="Chart data"/>
      <sheetName val="OOS"/>
      <sheetName val="Budgets"/>
      <sheetName val="Prep"/>
      <sheetName val="Tests"/>
      <sheetName val="Rates"/>
      <sheetName val="CIL Template"/>
      <sheetName val="PMI Review - Russia"/>
      <sheetName val="Списки"/>
    </sheetNames>
    <sheetDataSet>
      <sheetData sheetId="0" refreshError="1"/>
      <sheetData sheetId="1"/>
      <sheetData sheetId="2"/>
      <sheetData sheetId="3"/>
      <sheetData sheetId="4"/>
      <sheetData sheetId="5" refreshError="1"/>
      <sheetData sheetId="6" refreshError="1"/>
      <sheetData sheetId="7"/>
      <sheetData sheetId="8"/>
      <sheetData sheetId="9" refreshError="1"/>
      <sheetData sheetId="10"/>
      <sheetData sheetId="11">
        <row r="7">
          <cell r="C7" t="str">
            <v>Run</v>
          </cell>
        </row>
      </sheetData>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ow r="3">
          <cell r="AA3">
            <v>0</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E Fishbone"/>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Name val="Comportamientos Seguros"/>
      <sheetName val="Q1_ICBP"/>
      <sheetName val="Cálculo PR"/>
      <sheetName val="Cause_Entry"/>
      <sheetName val="IPS 6W2H_20191112"/>
      <sheetName val="UPS Summary_20191112"/>
      <sheetName val="UPS Summary_20200115"/>
      <sheetName val="UPS Summary_20200115 (2)"/>
      <sheetName val="Cause_Entry1"/>
      <sheetName val="Phenomena_Clarification_Guide1"/>
      <sheetName val="Cause_Entry3"/>
      <sheetName val="CE_Fishbone1"/>
      <sheetName val="CE_Summary1"/>
      <sheetName val="Comportamientos_Seguros1"/>
      <sheetName val="Cálculo_PR1"/>
      <sheetName val="Phenomena_Clarification_Guide"/>
      <sheetName val="Cause_Entry2"/>
      <sheetName val="CE_Fishbone"/>
      <sheetName val="CE_Summary"/>
      <sheetName val="Comportamientos_Seguros"/>
      <sheetName val="Cálculo_PR"/>
      <sheetName val="Phenomena_Clarification_Guide2"/>
      <sheetName val="Cause_Entry4"/>
      <sheetName val="CE_Fishbone2"/>
      <sheetName val="CE_Summary2"/>
      <sheetName val="Comportamientos_Seguros2"/>
      <sheetName val="Cálculo_PR2"/>
      <sheetName val="Phenomena_Clarification_Guide3"/>
      <sheetName val="Cause_Entry5"/>
      <sheetName val="CE_Fishbone3"/>
      <sheetName val="CE_Summary3"/>
      <sheetName val="Comportamientos_Seguros3"/>
      <sheetName val="Cálculo_PR3"/>
      <sheetName val="Cause_Entry6"/>
      <sheetName val="Cause_Entry7"/>
      <sheetName val="Worksheet in Unique Problem Sol"/>
      <sheetName val="Total_Liners"/>
      <sheetName val="Total_NonWoven"/>
      <sheetName val="PM plan"/>
      <sheetName val="case per pallet"/>
      <sheetName val="Database"/>
      <sheetName val="SRA"/>
      <sheetName val="GapAnalysis"/>
      <sheetName val="Menu"/>
      <sheetName val="Trend"/>
      <sheetName val="Level-Raw"/>
      <sheetName val="Summary"/>
      <sheetName val="Key Figures"/>
      <sheetName val="Drawback"/>
      <sheetName val="D-Proj"/>
      <sheetName val="D-Curr"/>
      <sheetName val="Freight List"/>
      <sheetName val="Ariel"/>
      <sheetName val="IRVA - CIG"/>
      <sheetName val="References"/>
      <sheetName val="TotalHC"/>
      <sheetName val="Follow Up"/>
      <sheetName val="Pending items"/>
      <sheetName val="con.#1"/>
      <sheetName val="Addendum"/>
      <sheetName val="Agenda"/>
      <sheetName val="Project application"/>
      <sheetName val="POS0398"/>
      <sheetName val="Dropdown_Formulas"/>
      <sheetName val="START HERE - Settings"/>
      <sheetName val="Trends list"/>
      <sheetName val="Instructions"/>
      <sheetName val="Sheet1"/>
      <sheetName val="Key_Figures"/>
      <sheetName val="Freight_List"/>
      <sheetName val="Worksheet_in_Unique_Problem_Sol"/>
      <sheetName val="Macro"/>
      <sheetName val="Setup"/>
      <sheetName val="GMA - First Cut"/>
      <sheetName val="Campo PROJECT LIST"/>
      <sheetName val="Lista de Defectos"/>
      <sheetName val="Cause_Entry8"/>
      <sheetName val="EATHAM &amp; GRADE MOV"/>
      <sheetName val="Phenomena_Clarification_Guide4"/>
      <sheetName val="Cause_Entry9"/>
      <sheetName val="CE_Fishbone4"/>
      <sheetName val="CE_Summary4"/>
      <sheetName val="Comportamientos_Seguros4"/>
      <sheetName val="Cálculo_PR4"/>
      <sheetName val="IPS_6W2H_20191112"/>
      <sheetName val="UPS_Summary_20191112"/>
      <sheetName val="UPS_Summary_20200115"/>
      <sheetName val="UPS_Summary_20200115_(2)"/>
      <sheetName val="Worksheet_in_Unique_Problem_So1"/>
      <sheetName val="PM_plan"/>
      <sheetName val="case_per_pallet"/>
      <sheetName val="Key_Figures1"/>
      <sheetName val="Freight_List1"/>
      <sheetName val="IRVA_-_CIG"/>
      <sheetName val="Follow_Up"/>
      <sheetName val="Pending_items"/>
      <sheetName val="con_#1"/>
      <sheetName val="Project_application"/>
      <sheetName val="START_HERE_-_Settings"/>
      <sheetName val="Trends_list"/>
      <sheetName val="GMA_-_First_Cut"/>
      <sheetName val="Campo_PROJECT_LIST"/>
      <sheetName val="Lista_de_Defectos"/>
      <sheetName val="Phenomena_Clarification_Guide5"/>
      <sheetName val="Cause_Entry10"/>
      <sheetName val="CE_Fishbone5"/>
      <sheetName val="CE_Summary5"/>
      <sheetName val="Comportamientos_Seguros5"/>
      <sheetName val="Cálculo_PR5"/>
      <sheetName val="IPS_6W2H_201911121"/>
      <sheetName val="UPS_Summary_201911121"/>
      <sheetName val="UPS_Summary_202001151"/>
      <sheetName val="UPS_Summary_20200115_(2)1"/>
      <sheetName val="Ausland ODBC"/>
      <sheetName val="Data"/>
      <sheetName val="Data-H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ow r="14">
          <cell r="E14">
            <v>0</v>
          </cell>
        </row>
      </sheetData>
      <sheetData sheetId="40"/>
      <sheetData sheetId="41"/>
      <sheetData sheetId="42"/>
      <sheetData sheetId="43">
        <row r="14">
          <cell r="E14">
            <v>0</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ow r="14">
          <cell r="E14">
            <v>0</v>
          </cell>
        </row>
      </sheetData>
      <sheetData sheetId="145"/>
      <sheetData sheetId="146"/>
      <sheetData sheetId="147"/>
      <sheetData sheetId="148" refreshError="1"/>
      <sheetData sheetId="149" refreshError="1"/>
      <sheetData sheetId="1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wn list"/>
      <sheetName val="Tracking"/>
      <sheetName val="Print"/>
      <sheetName val="Weekly - Monthly"/>
      <sheetName val="11 -MPS board Rev.1"/>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ause and Effect Diagram"/>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
      <sheetName val="Phenomena_Clarification_Guide"/>
      <sheetName val="Cause_Entry"/>
      <sheetName val="Cause_and_Effect_Diagram"/>
      <sheetName val="CE_Summary_Sheet"/>
      <sheetName val="Phenomena_Clarification_Guide1"/>
      <sheetName val="Cause_Entry1"/>
      <sheetName val="Cause_and_Effect_Diagram1"/>
      <sheetName val="CE_Summary_Sheet1"/>
      <sheetName val="Hard Points Tracking"/>
      <sheetName val="Making"/>
      <sheetName val="PAST1"/>
      <sheetName val="Other INPUT"/>
      <sheetName val="Phenomena_Clarification_Guide2"/>
      <sheetName val="Phenomena_Clarification_Guide3"/>
      <sheetName val="Cause_Entry2"/>
      <sheetName val="Cause_and_Effect_Diagram2"/>
      <sheetName val="CE_Summary_Sheet2"/>
      <sheetName val="Hard_Points_Tracking"/>
      <sheetName val="Other_INPUT"/>
      <sheetName val="Start here"/>
      <sheetName val="Daily"/>
      <sheetName val="Cause_and_Effect_Workbook Renew"/>
      <sheetName val="H_EUR_99"/>
      <sheetName val="Phenomena_Clarification_Guide4"/>
      <sheetName val="Cause_Entry3"/>
      <sheetName val="Cause_and_Effect_Diagram3"/>
      <sheetName val="CE_Summary_Sheet3"/>
      <sheetName val="Hard_Points_Tracking1"/>
      <sheetName val="Other_INPUT1"/>
      <sheetName val="PERFORME"/>
      <sheetName val="Summary"/>
      <sheetName val="ICBP - LS 9900"/>
      <sheetName val="Changes"/>
      <sheetName val="MFI"/>
      <sheetName val="MSA"/>
      <sheetName val="Region"/>
      <sheetName val="5733报废分析"/>
      <sheetName val="Data"/>
      <sheetName val="input"/>
      <sheetName val="Tracker | DDS | METRICS"/>
      <sheetName val="Title + setup"/>
      <sheetName val="TRENDSAP"/>
      <sheetName val="Sheet2"/>
      <sheetName val="PMAP"/>
      <sheetName val="Help"/>
      <sheetName val="Phenomena_Clarification_Guide5"/>
      <sheetName val="Cause_Entry4"/>
      <sheetName val="Cause_and_Effect_Diagram4"/>
      <sheetName val="CE_Summary_Sheet4"/>
      <sheetName val="Other_INPUT2"/>
      <sheetName val="Hard_Points_Tracking2"/>
      <sheetName val="Cause_and_Effect_Workbook_Renew"/>
      <sheetName val="ICBP_-_LS_9900"/>
      <sheetName val="Start_here"/>
      <sheetName val="Tracker_|_DDS_|_METRICS"/>
      <sheetName val="Title_+_setup"/>
      <sheetName val="VALUACION"/>
      <sheetName val="RESUMEN"/>
      <sheetName val="Phenomena_Clarification_Guide6"/>
      <sheetName val="Cause_Entry5"/>
      <sheetName val="Cause_and_Effect_Diagram5"/>
      <sheetName val="CE_Summary_Sheet5"/>
      <sheetName val="Other_INPUT3"/>
      <sheetName val="Hard_Points_Tracking3"/>
      <sheetName val="Cause_and_Effect_Workbook_Rene1"/>
      <sheetName val="ICBP_-_LS_99001"/>
      <sheetName val="Start_here1"/>
      <sheetName val="Tracker_|_DDS_|_METRICS1"/>
      <sheetName val="Title_+_setup1"/>
      <sheetName val="Ariel"/>
      <sheetName val="case per pallet"/>
      <sheetName val="Step 4 Results"/>
      <sheetName val="Tabla adic."/>
      <sheetName val="GA Overall inc"/>
      <sheetName val="Time Making"/>
      <sheetName val="MasterPlan"/>
    </sheetNames>
    <sheetDataSet>
      <sheetData sheetId="0">
        <row r="24">
          <cell r="B24" t="str">
            <v>Enter final phenomena statement - Phenomena clarification guide tab</v>
          </cell>
        </row>
      </sheetData>
      <sheetData sheetId="1">
        <row r="24">
          <cell r="B24" t="str">
            <v>Enter final phenomena statement - Phenomena clarification guide tab</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ow r="24">
          <cell r="B24" t="str">
            <v>Enter final phenomena statement - Phenomena clarification guide tab</v>
          </cell>
        </row>
      </sheetData>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ow r="24">
          <cell r="B24" t="str">
            <v>Enter final phenomena statement - Phenomena clarification guide tab</v>
          </cell>
        </row>
      </sheetData>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persons/person.xml><?xml version="1.0" encoding="utf-8"?>
<personList xmlns="http://schemas.microsoft.com/office/spreadsheetml/2018/threadedcomments" xmlns:x="http://schemas.openxmlformats.org/spreadsheetml/2006/main">
  <person displayName="Wijaya, Miranda Maya" id="{50F092F9-D645-42FB-B7C6-5A53E8B833DE}" userId="S::mwijaya7@PMINTL.NET::583db0ca-77c3-45e1-b6d7-2db86aa6c4d0" providerId="AD"/>
  <person displayName="Wijaya, Miranda Maya" id="{67823171-2EE8-494A-A906-4D683B2048F2}" userId="S::mwijaya7@pmintl.net::583db0ca-77c3-45e1-b6d7-2db86aa6c4d0" providerId="AD"/>
  <person displayName="Kurniawan, Feri (SAMPOERNA Tbk.)" id="{DA13FAF6-F3B6-4B86-B6FD-2B4F35BB5298}" userId="S::fkurniaw8@PMINTL.NET::3d8bf328-df51-4833-804a-d16f9c7e20ff" providerId="AD"/>
</personList>
</file>

<file path=xl/tables/table1.xml><?xml version="1.0" encoding="utf-8"?>
<table xmlns="http://schemas.openxmlformats.org/spreadsheetml/2006/main" id="1" name="Table1" displayName="Table1" ref="D3:Y4" totalsRowShown="0" headerRowDxfId="28" headerRowBorderDxfId="27" tableBorderDxfId="26" totalsRowBorderDxfId="25">
  <autoFilter ref="D3:Y4"/>
  <tableColumns count="22">
    <tableColumn id="1" name="Submission Date" dataDxfId="24">
      <calculatedColumnFormula>'IPS V4.1'!P8</calculatedColumnFormula>
    </tableColumn>
    <tableColumn id="2" name="Dept" dataDxfId="23">
      <calculatedColumnFormula>IF(RIGHT(F4,SEARCH("-",F4,1)-1)="ID01","SPM",IF(RIGHT(F4,SEARCH("-",F4,1)-1)="ID02","SKM",IF(RIGHT(F4,SEARCH("-",F4,1)-1)="ID30","RRP","")))</calculatedColumnFormula>
    </tableColumn>
    <tableColumn id="3" name="LU" dataDxfId="22">
      <calculatedColumnFormula>'IPS V4.1'!P6</calculatedColumnFormula>
    </tableColumn>
    <tableColumn id="4" name="Technology" dataDxfId="21">
      <calculatedColumnFormula>'IPS V4.1'!Q14</calculatedColumnFormula>
    </tableColumn>
    <tableColumn id="5" name="Loss Category" dataDxfId="20">
      <calculatedColumnFormula>'IPS V4.1'!C14</calculatedColumnFormula>
    </tableColumn>
    <tableColumn id="6" name="Loss Name" dataDxfId="19">
      <calculatedColumnFormula>'IPS V4.1'!B19</calculatedColumnFormula>
    </tableColumn>
    <tableColumn id="7" name="Evidence" dataDxfId="18">
      <calculatedColumnFormula>'IPS V4.1'!P19</calculatedColumnFormula>
    </tableColumn>
    <tableColumn id="8" name="What" dataDxfId="17">
      <calculatedColumnFormula>IF('IPS V4.1'!B26="","",'IPS V4.1'!B26)</calculatedColumnFormula>
    </tableColumn>
    <tableColumn id="9" name="Where" dataDxfId="16">
      <calculatedColumnFormula>IF('IPS V4.1'!R26="","",'IPS V4.1'!R26)</calculatedColumnFormula>
    </tableColumn>
    <tableColumn id="10" name="To Whom" dataDxfId="15">
      <calculatedColumnFormula>IF('IPS V4.1'!B39="","",'IPS V4.1'!B39)</calculatedColumnFormula>
    </tableColumn>
    <tableColumn id="11" name="How" dataDxfId="14">
      <calculatedColumnFormula>IF('IPS V4.1'!R39="","",'IPS V4.1'!R39)</calculatedColumnFormula>
    </tableColumn>
    <tableColumn id="12" name="Which" dataDxfId="13">
      <calculatedColumnFormula>IF('IPS V4.1'!B45="","",'IPS V4.1'!B45)</calculatedColumnFormula>
    </tableColumn>
    <tableColumn id="13" name="When" dataDxfId="12">
      <calculatedColumnFormula>IF('IPS V4.1'!R45="","",'IPS V4.1'!R45)</calculatedColumnFormula>
    </tableColumn>
    <tableColumn id="14" name="Who" dataDxfId="11">
      <calculatedColumnFormula>IF('IPS V4.1'!B51="","",'IPS V4.1'!B51)</calculatedColumnFormula>
    </tableColumn>
    <tableColumn id="15" name="How Much" dataDxfId="10">
      <calculatedColumnFormula>IF('IPS V4.1'!R51="","",'IPS V4.1'!R51)</calculatedColumnFormula>
    </tableColumn>
    <tableColumn id="16" name="Refocused Problem Statement" dataDxfId="9">
      <calculatedColumnFormula>IF('IPS V4.1'!B57="","",'IPS V4.1'!B57)</calculatedColumnFormula>
    </tableColumn>
    <tableColumn id="17" name="BCC NoK List" dataDxfId="8">
      <calculatedColumnFormula>'IPS V4.1'!M66&amp;CHAR(10)&amp;'IPS V4.1'!M68&amp;CHAR(10)&amp;'IPS V4.1'!M70&amp;CHAR(10)&amp;'IPS V4.1'!M72&amp;CHAR(10)&amp;'IPS V4.1'!M74&amp;CHAR(10)&amp;'IPS V4.1'!M76&amp;CHAR(10)&amp;'IPS V4.1'!M78</calculatedColumnFormula>
    </tableColumn>
    <tableColumn id="18" name="BCC NoK List Action" dataDxfId="7">
      <calculatedColumnFormula>'IPS V4.1'!T66&amp;CHAR(10)&amp;'IPS V4.1'!T68&amp;CHAR(10)&amp;'IPS V4.1'!T70&amp;CHAR(10)&amp;'IPS V4.1'!T72&amp;CHAR(10)&amp;'IPS V4.1'!T74&amp;CHAR(10)&amp;'IPS V4.1'!T76&amp;CHAR(10)&amp;'IPS V4.1'!T78</calculatedColumnFormula>
    </tableColumn>
    <tableColumn id="19" name="Countermeasure" dataDxfId="6">
      <calculatedColumnFormula>'IPS V4.1'!AM88</calculatedColumnFormula>
    </tableColumn>
    <tableColumn id="20" name="All BCC List" dataDxfId="5">
      <calculatedColumnFormula>'BCC List'!Q2</calculatedColumnFormula>
    </tableColumn>
    <tableColumn id="21" name="CM to RM" dataDxfId="4">
      <calculatedColumnFormula>IF('IPS V4.1'!BH88="","",'IPS V4.1'!BH88)</calculatedColumnFormula>
    </tableColumn>
    <tableColumn id="22" name="Impact Cost" dataDxfId="3">
      <calculatedColumnFormula>SUM('Cost Impact Calculator'!B28:B30)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LE_Champ" displayName="LE_Champ" ref="E5:E6" totalsRowShown="0" headerRowDxfId="2" dataDxfId="1">
  <autoFilter ref="E5:E6"/>
  <tableColumns count="1">
    <tableColumn id="1" name="LE Champion Name" dataDxfId="0">
      <calculatedColumnFormula>'IPS V4.1'!X14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8" dT="2023-07-14T07:30:22.54" personId="{DA13FAF6-F3B6-4B86-B6FD-2B4F35BB5298}" id="{0F4E3E81-6F39-40CD-AB46-2359F976ACFE}">
    <text>Short Date</text>
  </threadedComment>
  <threadedComment ref="P8" dT="2023-07-20T02:04:04.24" personId="{50F092F9-D645-42FB-B7C6-5A53E8B833DE}" id="{A6ECDD56-0DA3-4326-B824-A7D666E8DEF9}" parentId="{0F4E3E81-6F39-40CD-AB46-2359F976ACFE}">
    <text>Contoh : 1/31/23</text>
  </threadedComment>
  <threadedComment ref="X14" dT="2024-11-25T09:02:48.92" personId="{DA13FAF6-F3B6-4B86-B6FD-2B4F35BB5298}" id="{0319AB75-DC58-4EB1-9390-1F8B1C526DE1}">
    <text xml:space="preserve">Isi dengan ID Karyawan LE champion yang bertugas mereview IPS
</text>
  </threadedComment>
  <threadedComment ref="B19" dT="2023-07-14T07:42:54.26" personId="{DA13FAF6-F3B6-4B86-B6FD-2B4F35BB5298}" id="{4D0902F8-05EF-4579-8CB9-EFF7611EE381}">
    <text>Message Stop/Loss Sesuai SPA/HMI</text>
  </threadedComment>
  <threadedComment ref="B19" dT="2023-07-20T02:02:21.08" personId="{50F092F9-D645-42FB-B7C6-5A53E8B833DE}" id="{AC1B88B4-0A1C-464A-B142-361700B1E338}" parentId="{4D0902F8-05EF-4579-8CB9-EFF7611EE381}">
    <text>All Capital</text>
  </threadedComment>
  <threadedComment ref="P19" dT="2023-07-14T08:03:19.96" personId="{DA13FAF6-F3B6-4B86-B6FD-2B4F35BB5298}" id="{AA560B20-2D90-4691-A4F1-532DEA676070}">
    <text>Evidence/Failure Mode</text>
  </threadedComment>
  <threadedComment ref="C66" dT="2023-07-14T08:16:12.30" personId="{DA13FAF6-F3B6-4B86-B6FD-2B4F35BB5298}" id="{FBF783D9-13A4-4256-95B4-8E6AF91A7C4B}">
    <text>Kosongkan Kolom jika OK atau NA</text>
  </threadedComment>
  <threadedComment ref="E66" dT="2023-07-14T08:16:12.30" personId="{DA13FAF6-F3B6-4B86-B6FD-2B4F35BB5298}" id="{9A8FB9AA-C808-467C-BA7B-230E406E3701}">
    <text>Kosongkan Kolom jika OK atau NA</text>
  </threadedComment>
  <threadedComment ref="G66" dT="2023-07-14T08:17:30.62" personId="{DA13FAF6-F3B6-4B86-B6FD-2B4F35BB5298}" id="{99B14340-28FE-47B9-AD53-62E036C3DCFF}">
    <text>Kosongkan kolom jika OK atau NOK</text>
  </threadedComment>
  <threadedComment ref="M66" dT="2023-07-14T08:22:17.26" personId="{DA13FAF6-F3B6-4B86-B6FD-2B4F35BB5298}" id="{63480C89-413A-4C99-85DB-F8A5BE6A22A1}">
    <text>(Standard DMS)-Deskripsi Deviasinya</text>
  </threadedComment>
  <threadedComment ref="T66" dT="2023-07-14T08:23:28.63" personId="{DA13FAF6-F3B6-4B86-B6FD-2B4F35BB5298}" id="{8358B8CB-8184-4488-836C-914D87AE59A6}">
    <text>Tulis action correctivenya</text>
  </threadedComment>
  <threadedComment ref="M67" dT="2023-07-14T08:22:17.26" personId="{DA13FAF6-F3B6-4B86-B6FD-2B4F35BB5298}" id="{426CB91C-289B-4658-BAF6-81DEB422AB24}">
    <text>(Standard DMS)-Deskripsi Deviasinya</text>
  </threadedComment>
  <threadedComment ref="C68" dT="2023-07-14T08:16:12.30" personId="{DA13FAF6-F3B6-4B86-B6FD-2B4F35BB5298}" id="{A27AF422-6038-4B75-BDE9-C0D37F44C60D}">
    <text>Kosongkan Kolom jika OK atau NA</text>
  </threadedComment>
  <threadedComment ref="E68" dT="2023-07-14T08:16:12.30" personId="{DA13FAF6-F3B6-4B86-B6FD-2B4F35BB5298}" id="{9E4B4221-F775-47A0-8CFE-045CF4E436D0}">
    <text>Kosongkan Kolom jika OK atau NA</text>
  </threadedComment>
  <threadedComment ref="G68" dT="2023-07-14T08:17:30.62" personId="{DA13FAF6-F3B6-4B86-B6FD-2B4F35BB5298}" id="{6913997E-C281-4B71-8C13-D62C81A563D4}">
    <text>Kosongkan kolom jika OK atau NOK</text>
  </threadedComment>
  <threadedComment ref="M68" dT="2023-07-14T08:22:17.26" personId="{DA13FAF6-F3B6-4B86-B6FD-2B4F35BB5298}" id="{D2264655-2851-4838-AAF2-9C606C828F35}">
    <text>(Standard DMS)-Deskripsi Deviasinya</text>
  </threadedComment>
  <threadedComment ref="T68" dT="2023-07-14T08:23:28.63" personId="{DA13FAF6-F3B6-4B86-B6FD-2B4F35BB5298}" id="{74AE3846-3CF3-4FDA-A373-2C72E624C30F}">
    <text>Tulis action correctivenya</text>
  </threadedComment>
  <threadedComment ref="C70" dT="2023-07-14T08:16:12.30" personId="{DA13FAF6-F3B6-4B86-B6FD-2B4F35BB5298}" id="{D08149B9-2040-4862-B78C-1EB18993B819}">
    <text>Kosongkan Kolom jika OK atau NA</text>
  </threadedComment>
  <threadedComment ref="E70" dT="2023-07-14T08:16:12.30" personId="{DA13FAF6-F3B6-4B86-B6FD-2B4F35BB5298}" id="{DF2472BD-6364-42C8-8E14-7B0B7F19C3C6}">
    <text>Kosongkan Kolom jika OK atau NA</text>
  </threadedComment>
  <threadedComment ref="G70" dT="2023-07-14T08:17:30.62" personId="{DA13FAF6-F3B6-4B86-B6FD-2B4F35BB5298}" id="{BF8E9B19-CC7E-4B2E-9380-6F7B52ABC990}">
    <text>Kosongkan kolom jika OK atau NOK</text>
  </threadedComment>
  <threadedComment ref="M70" dT="2023-07-14T08:22:17.26" personId="{DA13FAF6-F3B6-4B86-B6FD-2B4F35BB5298}" id="{A4854C7A-D368-41BF-8098-B979D66BE97F}">
    <text>(Standard DMS)-Deskripsi Deviasinya</text>
  </threadedComment>
  <threadedComment ref="T70" dT="2023-07-14T08:23:28.63" personId="{DA13FAF6-F3B6-4B86-B6FD-2B4F35BB5298}" id="{A514D0A7-FCCD-4946-8253-342FF369FA17}">
    <text>Tulis action correctivenya</text>
  </threadedComment>
  <threadedComment ref="M71" dT="2023-07-14T08:22:17.26" personId="{DA13FAF6-F3B6-4B86-B6FD-2B4F35BB5298}" id="{8D62BF3C-704C-434D-A003-E6BBCBF2BD08}">
    <text>(Standard DMS)-Deskripsi Deviasinya</text>
  </threadedComment>
  <threadedComment ref="C72" dT="2023-07-14T08:16:12.30" personId="{DA13FAF6-F3B6-4B86-B6FD-2B4F35BB5298}" id="{5604DC4B-B5BD-46AB-95F3-6FA543468CC0}">
    <text>Kosongkan Kolom jika OK atau NA</text>
  </threadedComment>
  <threadedComment ref="E72" dT="2023-07-14T08:16:12.30" personId="{DA13FAF6-F3B6-4B86-B6FD-2B4F35BB5298}" id="{35B35A2E-EBAD-4067-ABC5-67FF77A7EAE6}">
    <text>Kosongkan Kolom jika OK atau NA</text>
  </threadedComment>
  <threadedComment ref="G72" dT="2023-07-14T08:17:30.62" personId="{DA13FAF6-F3B6-4B86-B6FD-2B4F35BB5298}" id="{E4F1AE30-BFB0-4F6C-959E-93965C838258}">
    <text>Kosongkan kolom jika OK atau NOK</text>
  </threadedComment>
  <threadedComment ref="M72" dT="2023-07-14T08:22:17.26" personId="{DA13FAF6-F3B6-4B86-B6FD-2B4F35BB5298}" id="{83C5C36E-543C-446B-B330-426FA8FA3101}">
    <text>(Standard DMS)-Deskripsi Deviasinya</text>
  </threadedComment>
  <threadedComment ref="T72" dT="2023-07-14T08:23:28.63" personId="{DA13FAF6-F3B6-4B86-B6FD-2B4F35BB5298}" id="{7FACBE0B-04DE-41F2-8960-5A508D45D660}">
    <text>Tulis action correctivenya</text>
  </threadedComment>
  <threadedComment ref="C74" dT="2023-07-14T08:16:12.30" personId="{DA13FAF6-F3B6-4B86-B6FD-2B4F35BB5298}" id="{65DE881D-D250-4957-BE66-22A264DF711B}">
    <text>Kosongkan Kolom jika OK atau NA</text>
  </threadedComment>
  <threadedComment ref="E74" dT="2023-07-14T08:16:12.30" personId="{DA13FAF6-F3B6-4B86-B6FD-2B4F35BB5298}" id="{8C89FB9C-3A5A-4E05-B0A3-C232FEAD07B8}">
    <text>Kosongkan Kolom jika OK atau NA</text>
  </threadedComment>
  <threadedComment ref="G74" dT="2023-07-14T08:17:30.62" personId="{DA13FAF6-F3B6-4B86-B6FD-2B4F35BB5298}" id="{FF62B7B7-A2D7-488F-8B4B-35FA53CCC570}">
    <text>Kosongkan kolom jika OK atau NOK</text>
  </threadedComment>
  <threadedComment ref="M74" dT="2023-07-14T08:22:17.26" personId="{DA13FAF6-F3B6-4B86-B6FD-2B4F35BB5298}" id="{9E945B84-C5BF-469F-BE32-240572531707}">
    <text>(Standard DMS)-Deskripsi Deviasinya</text>
  </threadedComment>
  <threadedComment ref="T74" dT="2023-07-14T08:23:28.63" personId="{DA13FAF6-F3B6-4B86-B6FD-2B4F35BB5298}" id="{C39BF7CC-985C-4343-B919-D223EF57EF6B}">
    <text>Tulis action correctivenya</text>
  </threadedComment>
  <threadedComment ref="C76" dT="2023-07-14T08:16:12.30" personId="{DA13FAF6-F3B6-4B86-B6FD-2B4F35BB5298}" id="{F9424DFC-30EB-4C6F-B306-E98960293970}">
    <text>Kosongkan Kolom jika OK atau NA</text>
  </threadedComment>
  <threadedComment ref="E76" dT="2023-07-14T08:16:12.30" personId="{DA13FAF6-F3B6-4B86-B6FD-2B4F35BB5298}" id="{786CE2E4-E020-4FEC-A746-D6E10CF29C9B}">
    <text>Kosongkan Kolom jika OK atau NA</text>
  </threadedComment>
  <threadedComment ref="G76" dT="2023-07-14T08:17:30.62" personId="{DA13FAF6-F3B6-4B86-B6FD-2B4F35BB5298}" id="{CA733A49-7C94-47B3-A8DB-F3703A8EF1E7}">
    <text>Kosongkan kolom jika OK atau NOK</text>
  </threadedComment>
  <threadedComment ref="M76" dT="2023-07-14T08:22:17.26" personId="{DA13FAF6-F3B6-4B86-B6FD-2B4F35BB5298}" id="{3872A026-A185-4F88-884E-4C1FDB20B599}">
    <text>(Standard DMS)-Deskripsi Deviasinya</text>
  </threadedComment>
  <threadedComment ref="C78" dT="2023-07-14T08:16:12.30" personId="{DA13FAF6-F3B6-4B86-B6FD-2B4F35BB5298}" id="{366B0F4A-253F-49C9-99A3-03F4C3DDA49B}">
    <text>Kosongkan Kolom jika OK atau NA</text>
  </threadedComment>
  <threadedComment ref="E78" dT="2023-07-14T08:16:12.30" personId="{DA13FAF6-F3B6-4B86-B6FD-2B4F35BB5298}" id="{0C46A35A-13EA-42C4-97C4-C3462327B33A}">
    <text>Kosongkan Kolom jika OK atau NA</text>
  </threadedComment>
  <threadedComment ref="G78" dT="2023-07-14T08:17:30.62" personId="{DA13FAF6-F3B6-4B86-B6FD-2B4F35BB5298}" id="{CC6430D6-9181-4FE2-964F-BF1EA37B0041}">
    <text>Kosongkan kolom jika OK atau NOK</text>
  </threadedComment>
  <threadedComment ref="M78" dT="2023-07-14T08:22:17.26" personId="{DA13FAF6-F3B6-4B86-B6FD-2B4F35BB5298}" id="{DEAC0EF3-2DFF-45F1-845A-E746E23454FF}">
    <text>(Standard DMS)-Deskripsi Deviasinya</text>
  </threadedComment>
  <threadedComment ref="Y148" dT="2023-09-13T09:32:26.21" personId="{67823171-2EE8-494A-A906-4D683B2048F2}" id="{5BC981C2-A98A-486C-87DE-B4DDE9263C0E}">
    <text>Kalau berhubungan dengan Quality : Langsung tulis Cost Impact nya
Kalau berhubungan dengan Delivery &amp; Cost : Input loss Reduction di Column X148</text>
  </threadedComment>
  <threadedComment ref="X152" dT="2023-09-13T10:24:38.32" personId="{DA13FAF6-F3B6-4B86-B6FD-2B4F35BB5298}" id="{09E5C619-622C-4002-88A0-A60F28009728}">
    <text>Kalau berhubungan dengan Quality : Langsung tulis Cost Impact nya sesuai perhitungan team QA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BH190"/>
  <sheetViews>
    <sheetView showGridLines="0" tabSelected="1" view="pageBreakPreview" topLeftCell="A7" zoomScale="55" zoomScaleNormal="40" zoomScaleSheetLayoutView="55" workbookViewId="0">
      <selection activeCell="I66" sqref="I66:K66"/>
    </sheetView>
  </sheetViews>
  <sheetFormatPr defaultColWidth="9.42578125" defaultRowHeight="15" x14ac:dyDescent="0.25"/>
  <cols>
    <col min="1" max="1" width="3.42578125" style="1" customWidth="1"/>
    <col min="2" max="2" width="3" style="1" customWidth="1"/>
    <col min="3" max="3" width="6.5703125" style="1" customWidth="1"/>
    <col min="4" max="4" width="2.42578125" style="1" customWidth="1"/>
    <col min="5" max="5" width="7.42578125" style="1" customWidth="1"/>
    <col min="6" max="6" width="2.42578125" style="1" customWidth="1"/>
    <col min="7" max="7" width="6.5703125" style="1" customWidth="1"/>
    <col min="8" max="8" width="2.42578125" style="1" customWidth="1"/>
    <col min="9" max="9" width="34.5703125" style="1" customWidth="1"/>
    <col min="10" max="10" width="5.42578125" style="1" customWidth="1"/>
    <col min="11" max="11" width="33.42578125" style="1" customWidth="1"/>
    <col min="12" max="12" width="4.42578125" style="1" customWidth="1"/>
    <col min="13" max="13" width="7" style="1" customWidth="1"/>
    <col min="14" max="14" width="3.42578125" style="1" customWidth="1"/>
    <col min="15" max="15" width="16.42578125" style="1" customWidth="1"/>
    <col min="16" max="16" width="2.42578125" style="1" customWidth="1"/>
    <col min="17" max="17" width="7.5703125" style="1" customWidth="1"/>
    <col min="18" max="19" width="5.42578125" style="1" customWidth="1"/>
    <col min="20" max="20" width="22.5703125" style="1" customWidth="1"/>
    <col min="21" max="21" width="4.5703125" style="1" customWidth="1"/>
    <col min="22" max="22" width="24.42578125" style="1" customWidth="1"/>
    <col min="23" max="23" width="4.5703125" style="1" customWidth="1"/>
    <col min="24" max="24" width="38.42578125" style="1" customWidth="1"/>
    <col min="25" max="25" width="13.5703125" style="1" customWidth="1"/>
    <col min="26" max="26" width="12.5703125" style="1" customWidth="1"/>
    <col min="27" max="27" width="13.42578125" style="1" customWidth="1"/>
    <col min="28" max="28" width="4.42578125" style="1" customWidth="1"/>
    <col min="29" max="29" width="9.42578125" style="1"/>
    <col min="30" max="42" width="9.42578125" style="1" customWidth="1"/>
    <col min="43" max="16384" width="9.42578125" style="1"/>
  </cols>
  <sheetData>
    <row r="1" spans="2:27" ht="18.600000000000001" customHeight="1" x14ac:dyDescent="0.25"/>
    <row r="2" spans="2:27" ht="51.75" customHeight="1" x14ac:dyDescent="0.25">
      <c r="B2" s="161" t="s">
        <v>0</v>
      </c>
      <c r="C2" s="161"/>
      <c r="D2" s="161"/>
      <c r="E2" s="161"/>
      <c r="F2" s="161"/>
      <c r="G2" s="161"/>
      <c r="H2" s="161"/>
      <c r="I2" s="161"/>
      <c r="J2" s="161"/>
      <c r="K2" s="161"/>
      <c r="L2" s="161"/>
      <c r="M2" s="161"/>
      <c r="N2" s="161"/>
      <c r="O2" s="161"/>
      <c r="P2" s="161"/>
      <c r="Q2" s="161"/>
      <c r="R2" s="161"/>
      <c r="S2" s="161"/>
      <c r="T2" s="161"/>
      <c r="U2" s="161"/>
      <c r="V2" s="161"/>
      <c r="W2" s="161"/>
      <c r="X2" s="161"/>
      <c r="Y2" s="161"/>
      <c r="Z2" s="161"/>
      <c r="AA2" s="161"/>
    </row>
    <row r="3" spans="2:27" ht="15.6" customHeight="1" x14ac:dyDescent="0.25">
      <c r="C3" s="2"/>
      <c r="D3" s="2"/>
      <c r="E3" s="2"/>
      <c r="F3" s="2"/>
      <c r="G3" s="2"/>
      <c r="H3" s="2"/>
      <c r="I3" s="2"/>
      <c r="J3" s="2"/>
      <c r="K3" s="2"/>
      <c r="L3" s="2"/>
      <c r="M3" s="2"/>
      <c r="N3" s="2"/>
      <c r="O3" s="2"/>
      <c r="P3" s="2"/>
      <c r="Q3" s="2"/>
      <c r="R3" s="2"/>
      <c r="S3" s="2"/>
      <c r="T3" s="2"/>
      <c r="U3" s="2"/>
      <c r="V3" s="2"/>
      <c r="W3" s="2"/>
    </row>
    <row r="4" spans="2:27" s="3" customFormat="1" ht="29.1" customHeight="1" x14ac:dyDescent="0.25">
      <c r="B4" s="222" t="s">
        <v>1</v>
      </c>
      <c r="C4" s="222"/>
      <c r="D4" s="222"/>
      <c r="E4" s="222"/>
      <c r="F4" s="222"/>
      <c r="G4" s="222"/>
      <c r="H4" s="222"/>
      <c r="I4" s="222"/>
      <c r="J4" s="222"/>
      <c r="K4" s="222"/>
      <c r="L4" s="222"/>
      <c r="M4" s="222"/>
      <c r="N4" s="222"/>
      <c r="O4" s="222"/>
      <c r="P4" s="222"/>
      <c r="Q4" s="222"/>
      <c r="R4" s="222"/>
      <c r="S4" s="222"/>
      <c r="T4" s="222"/>
      <c r="U4" s="222"/>
      <c r="V4" s="222"/>
      <c r="W4" s="222"/>
      <c r="X4" s="222"/>
      <c r="Y4" s="222"/>
      <c r="Z4" s="222"/>
      <c r="AA4" s="222"/>
    </row>
    <row r="5" spans="2:27" s="4" customFormat="1" ht="11.1" customHeight="1" x14ac:dyDescent="0.3">
      <c r="Y5" s="1"/>
      <c r="Z5" s="1"/>
    </row>
    <row r="6" spans="2:27" s="4" customFormat="1" ht="18.75" x14ac:dyDescent="0.3">
      <c r="C6" s="53"/>
      <c r="E6" s="4" t="s">
        <v>2</v>
      </c>
      <c r="O6" s="227" t="s">
        <v>3</v>
      </c>
      <c r="P6" s="229" t="s">
        <v>114</v>
      </c>
      <c r="Q6" s="230"/>
      <c r="R6" s="230"/>
      <c r="S6" s="230"/>
      <c r="T6" s="230"/>
      <c r="U6" s="231"/>
      <c r="V6" s="164" t="s">
        <v>5</v>
      </c>
      <c r="W6" s="164"/>
      <c r="X6" s="164"/>
      <c r="Y6" s="164"/>
      <c r="Z6" s="164"/>
      <c r="AA6" s="164"/>
    </row>
    <row r="7" spans="2:27" s="4" customFormat="1" ht="9" customHeight="1" x14ac:dyDescent="0.3">
      <c r="O7" s="228"/>
      <c r="P7" s="232"/>
      <c r="Q7" s="233"/>
      <c r="R7" s="233"/>
      <c r="S7" s="233"/>
      <c r="T7" s="233"/>
      <c r="U7" s="234"/>
      <c r="V7" s="164"/>
      <c r="W7" s="164"/>
      <c r="X7" s="164"/>
      <c r="Y7" s="164"/>
      <c r="Z7" s="164"/>
      <c r="AA7" s="164"/>
    </row>
    <row r="8" spans="2:27" s="4" customFormat="1" ht="18.75" x14ac:dyDescent="0.3">
      <c r="C8" s="53"/>
      <c r="E8" s="4" t="s">
        <v>6</v>
      </c>
      <c r="O8" s="227" t="s">
        <v>7</v>
      </c>
      <c r="P8" s="235"/>
      <c r="Q8" s="236"/>
      <c r="R8" s="236"/>
      <c r="S8" s="236"/>
      <c r="T8" s="236"/>
      <c r="U8" s="236"/>
      <c r="V8" s="236"/>
      <c r="W8" s="236"/>
      <c r="X8" s="236"/>
      <c r="Y8" s="236"/>
      <c r="Z8" s="236"/>
      <c r="AA8" s="237"/>
    </row>
    <row r="9" spans="2:27" s="4" customFormat="1" ht="9" customHeight="1" x14ac:dyDescent="0.3">
      <c r="O9" s="228"/>
      <c r="P9" s="238"/>
      <c r="Q9" s="239"/>
      <c r="R9" s="239"/>
      <c r="S9" s="239"/>
      <c r="T9" s="239"/>
      <c r="U9" s="239"/>
      <c r="V9" s="239"/>
      <c r="W9" s="239"/>
      <c r="X9" s="239"/>
      <c r="Y9" s="239"/>
      <c r="Z9" s="239"/>
      <c r="AA9" s="240"/>
    </row>
    <row r="10" spans="2:27" s="4" customFormat="1" ht="18.75" x14ac:dyDescent="0.3">
      <c r="C10" s="53"/>
      <c r="E10" s="4" t="s">
        <v>9</v>
      </c>
      <c r="O10" s="224"/>
      <c r="P10" s="225"/>
      <c r="Q10" s="225"/>
      <c r="R10" s="225"/>
      <c r="S10" s="225"/>
      <c r="T10" s="225"/>
      <c r="U10" s="225"/>
      <c r="V10" s="225"/>
      <c r="W10" s="225"/>
      <c r="X10" s="225"/>
      <c r="Y10" s="225"/>
      <c r="Z10" s="225"/>
      <c r="AA10" s="225"/>
    </row>
    <row r="11" spans="2:27" s="4" customFormat="1" ht="9" customHeight="1" x14ac:dyDescent="0.3">
      <c r="O11" s="225"/>
      <c r="P11" s="225"/>
      <c r="Q11" s="225"/>
      <c r="R11" s="225"/>
      <c r="S11" s="225"/>
      <c r="T11" s="225"/>
      <c r="U11" s="225"/>
      <c r="V11" s="225"/>
      <c r="W11" s="225"/>
      <c r="X11" s="225"/>
      <c r="Y11" s="225"/>
      <c r="Z11" s="225"/>
      <c r="AA11" s="225"/>
    </row>
    <row r="12" spans="2:27" s="4" customFormat="1" ht="18.600000000000001" customHeight="1" x14ac:dyDescent="0.3">
      <c r="C12" s="53"/>
      <c r="E12" s="4" t="s">
        <v>10</v>
      </c>
      <c r="O12" s="225"/>
      <c r="P12" s="225"/>
      <c r="Q12" s="225"/>
      <c r="R12" s="225"/>
      <c r="S12" s="225"/>
      <c r="T12" s="225"/>
      <c r="U12" s="225"/>
      <c r="V12" s="225"/>
      <c r="W12" s="225"/>
      <c r="X12" s="225"/>
      <c r="Y12" s="225"/>
      <c r="Z12" s="225"/>
      <c r="AA12" s="225"/>
    </row>
    <row r="13" spans="2:27" s="13" customFormat="1" ht="7.35" customHeight="1" x14ac:dyDescent="0.35">
      <c r="C13" s="23"/>
      <c r="D13" s="10"/>
      <c r="E13" s="24"/>
      <c r="F13" s="11"/>
      <c r="G13" s="25"/>
      <c r="H13" s="20"/>
      <c r="I13" s="12"/>
      <c r="J13" s="12"/>
      <c r="K13" s="12"/>
      <c r="L13" s="26"/>
      <c r="M13" s="26"/>
      <c r="N13" s="26"/>
      <c r="O13" s="26"/>
      <c r="P13" s="26"/>
      <c r="Q13" s="26"/>
      <c r="R13" s="27"/>
      <c r="S13" s="27"/>
      <c r="T13" s="27"/>
      <c r="U13" s="4"/>
      <c r="V13" s="28"/>
      <c r="W13" s="28"/>
      <c r="Y13" s="1"/>
      <c r="Z13" s="1"/>
    </row>
    <row r="14" spans="2:27" s="13" customFormat="1" ht="20.100000000000001" customHeight="1" x14ac:dyDescent="0.35">
      <c r="C14" s="54" t="str">
        <f>C6&amp;C8&amp;C10&amp;C12</f>
        <v/>
      </c>
      <c r="D14" s="10"/>
      <c r="E14" s="24"/>
      <c r="F14" s="11"/>
      <c r="G14" s="25"/>
      <c r="H14" s="20"/>
      <c r="I14" s="12"/>
      <c r="J14" s="12"/>
      <c r="K14" s="12"/>
      <c r="L14" s="26"/>
      <c r="M14" s="26"/>
      <c r="N14" s="26"/>
      <c r="O14" s="241" t="s">
        <v>11</v>
      </c>
      <c r="P14" s="242"/>
      <c r="Q14" s="190"/>
      <c r="R14" s="190"/>
      <c r="S14" s="190"/>
      <c r="T14" s="190"/>
      <c r="U14" s="4"/>
      <c r="V14" s="241" t="s">
        <v>138</v>
      </c>
      <c r="W14" s="242"/>
      <c r="X14" s="248"/>
      <c r="Y14" s="248"/>
      <c r="Z14" s="248"/>
      <c r="AA14" s="248"/>
    </row>
    <row r="15" spans="2:27" s="13" customFormat="1" ht="16.5" customHeight="1" x14ac:dyDescent="0.35">
      <c r="C15" s="226" t="s">
        <v>12</v>
      </c>
      <c r="D15" s="226"/>
      <c r="E15" s="226"/>
      <c r="F15" s="226"/>
      <c r="G15" s="226"/>
      <c r="H15" s="226"/>
      <c r="I15" s="226"/>
      <c r="J15" s="226"/>
      <c r="K15" s="226"/>
      <c r="L15" s="226"/>
      <c r="M15" s="226"/>
      <c r="N15" s="226"/>
      <c r="O15" s="226"/>
      <c r="P15" s="226"/>
      <c r="Q15" s="226"/>
      <c r="R15" s="226"/>
      <c r="S15" s="226"/>
      <c r="T15" s="226"/>
      <c r="U15" s="226"/>
      <c r="V15" s="226"/>
      <c r="W15" s="226"/>
      <c r="Y15" s="1"/>
      <c r="Z15" s="1"/>
    </row>
    <row r="16" spans="2:27" s="13" customFormat="1" ht="7.35" customHeight="1" x14ac:dyDescent="0.35">
      <c r="C16" s="14"/>
      <c r="D16" s="15"/>
      <c r="E16" s="16"/>
      <c r="F16" s="16"/>
      <c r="G16" s="17"/>
      <c r="H16" s="17"/>
      <c r="I16" s="18"/>
      <c r="J16" s="18"/>
      <c r="K16" s="18"/>
      <c r="L16" s="18"/>
      <c r="M16" s="18"/>
      <c r="N16" s="14"/>
      <c r="O16" s="15"/>
      <c r="P16" s="16"/>
      <c r="Q16" s="16"/>
      <c r="R16" s="17"/>
      <c r="S16" s="19"/>
      <c r="T16" s="18"/>
      <c r="U16" s="18"/>
      <c r="V16" s="18"/>
      <c r="Y16" s="1"/>
      <c r="Z16" s="1"/>
    </row>
    <row r="17" spans="2:27" s="6" customFormat="1" ht="28.35" customHeight="1" x14ac:dyDescent="0.25">
      <c r="B17" s="223" t="s">
        <v>13</v>
      </c>
      <c r="C17" s="223"/>
      <c r="D17" s="223"/>
      <c r="E17" s="223"/>
      <c r="F17" s="223"/>
      <c r="G17" s="223"/>
      <c r="H17" s="223"/>
      <c r="I17" s="223"/>
      <c r="J17" s="223"/>
      <c r="K17" s="223"/>
      <c r="L17" s="223"/>
      <c r="M17" s="223"/>
      <c r="N17" s="223"/>
      <c r="O17" s="223"/>
      <c r="P17" s="223"/>
      <c r="Q17" s="223"/>
      <c r="R17" s="223"/>
      <c r="S17" s="223"/>
      <c r="T17" s="223"/>
      <c r="U17" s="223"/>
      <c r="V17" s="223"/>
      <c r="W17" s="223"/>
      <c r="X17" s="223"/>
      <c r="Y17" s="223"/>
      <c r="Z17" s="223"/>
      <c r="AA17" s="223"/>
    </row>
    <row r="18" spans="2:27" s="6" customFormat="1" ht="28.35" customHeight="1" x14ac:dyDescent="0.25">
      <c r="B18" s="245" t="s">
        <v>136</v>
      </c>
      <c r="C18" s="246"/>
      <c r="D18" s="246"/>
      <c r="E18" s="246"/>
      <c r="F18" s="246"/>
      <c r="G18" s="246"/>
      <c r="H18" s="246"/>
      <c r="I18" s="246"/>
      <c r="J18" s="246"/>
      <c r="K18" s="246"/>
      <c r="L18" s="246"/>
      <c r="M18" s="246"/>
      <c r="N18" s="246"/>
      <c r="O18" s="247"/>
      <c r="P18" s="245" t="s">
        <v>14</v>
      </c>
      <c r="Q18" s="246"/>
      <c r="R18" s="246"/>
      <c r="S18" s="246"/>
      <c r="T18" s="246"/>
      <c r="U18" s="246"/>
      <c r="V18" s="246"/>
      <c r="W18" s="246"/>
      <c r="X18" s="246"/>
      <c r="Y18" s="246"/>
      <c r="Z18" s="246"/>
      <c r="AA18" s="247"/>
    </row>
    <row r="19" spans="2:27" s="6" customFormat="1" ht="20.100000000000001" customHeight="1" x14ac:dyDescent="0.25">
      <c r="B19" s="243"/>
      <c r="C19" s="243"/>
      <c r="D19" s="243"/>
      <c r="E19" s="243"/>
      <c r="F19" s="243"/>
      <c r="G19" s="243"/>
      <c r="H19" s="243"/>
      <c r="I19" s="243"/>
      <c r="J19" s="243"/>
      <c r="K19" s="243"/>
      <c r="L19" s="243"/>
      <c r="M19" s="243"/>
      <c r="N19" s="243"/>
      <c r="O19" s="243"/>
      <c r="P19" s="244"/>
      <c r="Q19" s="243"/>
      <c r="R19" s="243"/>
      <c r="S19" s="243"/>
      <c r="T19" s="243"/>
      <c r="U19" s="243"/>
      <c r="V19" s="243"/>
      <c r="W19" s="243"/>
      <c r="X19" s="243"/>
      <c r="Y19" s="243"/>
      <c r="Z19" s="243"/>
      <c r="AA19" s="243"/>
    </row>
    <row r="20" spans="2:27" s="6" customFormat="1" ht="20.100000000000001" customHeight="1" x14ac:dyDescent="0.25">
      <c r="B20" s="243"/>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row>
    <row r="21" spans="2:27" s="6" customFormat="1" ht="20.100000000000001" customHeight="1" x14ac:dyDescent="0.25">
      <c r="B21" s="243"/>
      <c r="C21" s="243"/>
      <c r="D21" s="243"/>
      <c r="E21" s="243"/>
      <c r="F21" s="243"/>
      <c r="G21" s="243"/>
      <c r="H21" s="243"/>
      <c r="I21" s="243"/>
      <c r="J21" s="243"/>
      <c r="K21" s="243"/>
      <c r="L21" s="243"/>
      <c r="M21" s="243"/>
      <c r="N21" s="243"/>
      <c r="O21" s="243"/>
      <c r="P21" s="243"/>
      <c r="Q21" s="243"/>
      <c r="R21" s="243"/>
      <c r="S21" s="243"/>
      <c r="T21" s="243"/>
      <c r="U21" s="243"/>
      <c r="V21" s="243"/>
      <c r="W21" s="243"/>
      <c r="X21" s="243"/>
      <c r="Y21" s="243"/>
      <c r="Z21" s="243"/>
      <c r="AA21" s="243"/>
    </row>
    <row r="22" spans="2:27" s="6" customFormat="1" ht="7.35" customHeight="1" x14ac:dyDescent="0.25">
      <c r="B22" s="7"/>
      <c r="C22" s="7"/>
      <c r="D22" s="7"/>
      <c r="E22" s="7"/>
      <c r="F22" s="7"/>
      <c r="G22" s="7"/>
      <c r="H22" s="7"/>
    </row>
    <row r="23" spans="2:27" s="6" customFormat="1" ht="28.35" customHeight="1" x14ac:dyDescent="0.25">
      <c r="B23" s="222" t="s">
        <v>15</v>
      </c>
      <c r="C23" s="222"/>
      <c r="D23" s="222"/>
      <c r="E23" s="222"/>
      <c r="F23" s="222"/>
      <c r="G23" s="222"/>
      <c r="H23" s="222"/>
      <c r="I23" s="222"/>
      <c r="J23" s="222"/>
      <c r="K23" s="222"/>
      <c r="L23" s="222"/>
      <c r="M23" s="222"/>
      <c r="N23" s="222"/>
      <c r="O23" s="222"/>
      <c r="P23" s="222"/>
      <c r="Q23" s="222"/>
      <c r="R23" s="222"/>
      <c r="S23" s="222"/>
      <c r="T23" s="222"/>
      <c r="U23" s="222"/>
      <c r="V23" s="222"/>
      <c r="W23" s="222"/>
      <c r="X23" s="222"/>
      <c r="Y23" s="222"/>
      <c r="Z23" s="222"/>
      <c r="AA23" s="222"/>
    </row>
    <row r="24" spans="2:27" s="6" customFormat="1" ht="7.35" customHeight="1" x14ac:dyDescent="0.25">
      <c r="B24" s="8"/>
      <c r="C24" s="8"/>
      <c r="D24" s="8"/>
      <c r="E24" s="8"/>
      <c r="F24" s="8"/>
      <c r="G24" s="8"/>
      <c r="H24" s="8"/>
    </row>
    <row r="25" spans="2:27" s="6" customFormat="1" ht="66" customHeight="1" x14ac:dyDescent="0.25">
      <c r="B25" s="219" t="s">
        <v>16</v>
      </c>
      <c r="C25" s="219"/>
      <c r="D25" s="219"/>
      <c r="E25" s="219"/>
      <c r="F25" s="219"/>
      <c r="G25" s="215" t="s">
        <v>17</v>
      </c>
      <c r="H25" s="215"/>
      <c r="I25" s="215"/>
      <c r="J25" s="215"/>
      <c r="K25" s="215"/>
      <c r="L25" s="215"/>
      <c r="M25" s="215"/>
      <c r="N25" s="215"/>
      <c r="O25" s="215"/>
      <c r="P25" s="215"/>
      <c r="R25" s="202" t="s">
        <v>18</v>
      </c>
      <c r="S25" s="203"/>
      <c r="T25" s="204"/>
      <c r="U25" s="205" t="s">
        <v>126</v>
      </c>
      <c r="V25" s="206"/>
      <c r="W25" s="206"/>
      <c r="X25" s="206"/>
      <c r="Y25" s="206"/>
      <c r="Z25" s="206"/>
      <c r="AA25" s="207"/>
    </row>
    <row r="26" spans="2:27" s="6" customFormat="1" ht="21.6" customHeight="1" x14ac:dyDescent="0.25">
      <c r="B26" s="213"/>
      <c r="C26" s="216"/>
      <c r="D26" s="216"/>
      <c r="E26" s="216"/>
      <c r="F26" s="216"/>
      <c r="G26" s="216"/>
      <c r="H26" s="216"/>
      <c r="I26" s="216"/>
      <c r="J26" s="216"/>
      <c r="K26" s="216"/>
      <c r="L26" s="216"/>
      <c r="M26" s="216"/>
      <c r="N26" s="216"/>
      <c r="O26" s="216"/>
      <c r="P26" s="216"/>
      <c r="R26" s="217"/>
      <c r="S26" s="217"/>
      <c r="T26" s="217"/>
      <c r="U26" s="217"/>
      <c r="V26" s="217"/>
      <c r="W26" s="217"/>
      <c r="X26" s="217"/>
      <c r="Y26" s="217"/>
      <c r="Z26" s="217"/>
      <c r="AA26" s="217"/>
    </row>
    <row r="27" spans="2:27" s="6" customFormat="1" ht="21.6" customHeight="1" x14ac:dyDescent="0.25">
      <c r="B27" s="216"/>
      <c r="C27" s="216"/>
      <c r="D27" s="216"/>
      <c r="E27" s="216"/>
      <c r="F27" s="216"/>
      <c r="G27" s="216"/>
      <c r="H27" s="216"/>
      <c r="I27" s="216"/>
      <c r="J27" s="216"/>
      <c r="K27" s="216"/>
      <c r="L27" s="216"/>
      <c r="M27" s="216"/>
      <c r="N27" s="216"/>
      <c r="O27" s="216"/>
      <c r="P27" s="216"/>
      <c r="R27" s="217"/>
      <c r="S27" s="217"/>
      <c r="T27" s="217"/>
      <c r="U27" s="217"/>
      <c r="V27" s="217"/>
      <c r="W27" s="217"/>
      <c r="X27" s="217"/>
      <c r="Y27" s="217"/>
      <c r="Z27" s="217"/>
      <c r="AA27" s="217"/>
    </row>
    <row r="28" spans="2:27" s="6" customFormat="1" ht="21.6" customHeight="1" x14ac:dyDescent="0.25">
      <c r="B28" s="216"/>
      <c r="C28" s="216"/>
      <c r="D28" s="216"/>
      <c r="E28" s="216"/>
      <c r="F28" s="216"/>
      <c r="G28" s="216"/>
      <c r="H28" s="216"/>
      <c r="I28" s="216"/>
      <c r="J28" s="216"/>
      <c r="K28" s="216"/>
      <c r="L28" s="216"/>
      <c r="M28" s="216"/>
      <c r="N28" s="216"/>
      <c r="O28" s="216"/>
      <c r="P28" s="216"/>
      <c r="R28" s="217"/>
      <c r="S28" s="217"/>
      <c r="T28" s="217"/>
      <c r="U28" s="217"/>
      <c r="V28" s="217"/>
      <c r="W28" s="217"/>
      <c r="X28" s="217"/>
      <c r="Y28" s="217"/>
      <c r="Z28" s="217"/>
      <c r="AA28" s="217"/>
    </row>
    <row r="29" spans="2:27" s="6" customFormat="1" ht="21.6" customHeight="1" x14ac:dyDescent="0.25">
      <c r="B29" s="216"/>
      <c r="C29" s="216"/>
      <c r="D29" s="216"/>
      <c r="E29" s="216"/>
      <c r="F29" s="216"/>
      <c r="G29" s="216"/>
      <c r="H29" s="216"/>
      <c r="I29" s="216"/>
      <c r="J29" s="216"/>
      <c r="K29" s="216"/>
      <c r="L29" s="216"/>
      <c r="M29" s="216"/>
      <c r="N29" s="216"/>
      <c r="O29" s="216"/>
      <c r="P29" s="216"/>
      <c r="R29" s="217"/>
      <c r="S29" s="217"/>
      <c r="T29" s="217"/>
      <c r="U29" s="217"/>
      <c r="V29" s="217"/>
      <c r="W29" s="217"/>
      <c r="X29" s="217"/>
      <c r="Y29" s="217"/>
      <c r="Z29" s="217"/>
      <c r="AA29" s="217"/>
    </row>
    <row r="30" spans="2:27" s="6" customFormat="1" ht="21" customHeight="1" x14ac:dyDescent="0.25">
      <c r="B30" s="218" t="s">
        <v>19</v>
      </c>
      <c r="C30" s="218"/>
      <c r="D30" s="218"/>
      <c r="E30" s="218"/>
      <c r="F30" s="218"/>
      <c r="G30" s="218"/>
      <c r="H30" s="218"/>
      <c r="I30" s="218"/>
      <c r="J30" s="218"/>
      <c r="K30" s="218"/>
      <c r="L30" s="218"/>
      <c r="M30" s="218"/>
      <c r="N30" s="218"/>
      <c r="O30" s="218"/>
      <c r="P30" s="218"/>
      <c r="Q30" s="218"/>
      <c r="R30" s="218"/>
      <c r="S30" s="218"/>
      <c r="T30" s="218"/>
      <c r="U30" s="218"/>
      <c r="V30" s="218"/>
      <c r="W30" s="218"/>
      <c r="X30" s="218"/>
      <c r="Y30" s="218"/>
      <c r="Z30" s="218"/>
      <c r="AA30" s="218"/>
    </row>
    <row r="31" spans="2:27" s="6" customFormat="1" ht="40.35" customHeight="1" x14ac:dyDescent="0.25">
      <c r="B31" s="199" t="s">
        <v>147</v>
      </c>
      <c r="C31" s="199"/>
      <c r="D31" s="199"/>
      <c r="E31" s="199"/>
      <c r="F31" s="199"/>
      <c r="G31" s="199"/>
      <c r="H31" s="199"/>
      <c r="I31" s="199"/>
      <c r="J31" s="199"/>
      <c r="K31" s="199"/>
      <c r="L31" s="199"/>
      <c r="M31" s="199"/>
      <c r="N31" s="199"/>
      <c r="O31" s="199"/>
      <c r="P31" s="199"/>
      <c r="R31" s="199" t="s">
        <v>146</v>
      </c>
      <c r="S31" s="199"/>
      <c r="T31" s="199"/>
      <c r="U31" s="199"/>
      <c r="V31" s="199"/>
      <c r="W31" s="199"/>
      <c r="X31" s="199"/>
      <c r="Y31" s="199"/>
      <c r="Z31" s="199"/>
      <c r="AA31" s="199"/>
    </row>
    <row r="32" spans="2:27" s="6" customFormat="1" ht="40.35" customHeight="1" x14ac:dyDescent="0.25">
      <c r="B32" s="199"/>
      <c r="C32" s="199"/>
      <c r="D32" s="199"/>
      <c r="E32" s="199"/>
      <c r="F32" s="199"/>
      <c r="G32" s="199"/>
      <c r="H32" s="199"/>
      <c r="I32" s="199"/>
      <c r="J32" s="199"/>
      <c r="K32" s="199"/>
      <c r="L32" s="199"/>
      <c r="M32" s="199"/>
      <c r="N32" s="199"/>
      <c r="O32" s="199"/>
      <c r="P32" s="199"/>
      <c r="R32" s="199"/>
      <c r="S32" s="199"/>
      <c r="T32" s="199"/>
      <c r="U32" s="199"/>
      <c r="V32" s="199"/>
      <c r="W32" s="199"/>
      <c r="X32" s="199"/>
      <c r="Y32" s="199"/>
      <c r="Z32" s="199"/>
      <c r="AA32" s="199"/>
    </row>
    <row r="33" spans="2:27" s="6" customFormat="1" ht="40.35" customHeight="1" x14ac:dyDescent="0.25">
      <c r="B33" s="199"/>
      <c r="C33" s="199"/>
      <c r="D33" s="199"/>
      <c r="E33" s="199"/>
      <c r="F33" s="199"/>
      <c r="G33" s="199"/>
      <c r="H33" s="199"/>
      <c r="I33" s="199"/>
      <c r="J33" s="199"/>
      <c r="K33" s="199"/>
      <c r="L33" s="199"/>
      <c r="M33" s="199"/>
      <c r="N33" s="199"/>
      <c r="O33" s="199"/>
      <c r="P33" s="199"/>
      <c r="R33" s="199"/>
      <c r="S33" s="199"/>
      <c r="T33" s="199"/>
      <c r="U33" s="199"/>
      <c r="V33" s="199"/>
      <c r="W33" s="199"/>
      <c r="X33" s="199"/>
      <c r="Y33" s="199"/>
      <c r="Z33" s="199"/>
      <c r="AA33" s="199"/>
    </row>
    <row r="34" spans="2:27" s="6" customFormat="1" ht="40.35" customHeight="1" x14ac:dyDescent="0.25">
      <c r="B34" s="199"/>
      <c r="C34" s="199"/>
      <c r="D34" s="199"/>
      <c r="E34" s="199"/>
      <c r="F34" s="199"/>
      <c r="G34" s="199"/>
      <c r="H34" s="199"/>
      <c r="I34" s="199"/>
      <c r="J34" s="199"/>
      <c r="K34" s="199"/>
      <c r="L34" s="199"/>
      <c r="M34" s="199"/>
      <c r="N34" s="199"/>
      <c r="O34" s="199"/>
      <c r="P34" s="199"/>
      <c r="R34" s="199"/>
      <c r="S34" s="199"/>
      <c r="T34" s="199"/>
      <c r="U34" s="199"/>
      <c r="V34" s="199"/>
      <c r="W34" s="199"/>
      <c r="X34" s="199"/>
      <c r="Y34" s="199"/>
      <c r="Z34" s="199"/>
      <c r="AA34" s="199"/>
    </row>
    <row r="35" spans="2:27" s="6" customFormat="1" ht="40.35" customHeight="1" x14ac:dyDescent="0.25">
      <c r="B35" s="199"/>
      <c r="C35" s="199"/>
      <c r="D35" s="199"/>
      <c r="E35" s="199"/>
      <c r="F35" s="199"/>
      <c r="G35" s="199"/>
      <c r="H35" s="199"/>
      <c r="I35" s="199"/>
      <c r="J35" s="199"/>
      <c r="K35" s="199"/>
      <c r="L35" s="199"/>
      <c r="M35" s="199"/>
      <c r="N35" s="199"/>
      <c r="O35" s="199"/>
      <c r="P35" s="199"/>
      <c r="R35" s="199"/>
      <c r="S35" s="199"/>
      <c r="T35" s="199"/>
      <c r="U35" s="199"/>
      <c r="V35" s="199"/>
      <c r="W35" s="199"/>
      <c r="X35" s="199"/>
      <c r="Y35" s="199"/>
      <c r="Z35" s="199"/>
      <c r="AA35" s="199"/>
    </row>
    <row r="36" spans="2:27" s="6" customFormat="1" ht="40.35" customHeight="1" x14ac:dyDescent="0.25">
      <c r="B36" s="199"/>
      <c r="C36" s="199"/>
      <c r="D36" s="199"/>
      <c r="E36" s="199"/>
      <c r="F36" s="199"/>
      <c r="G36" s="199"/>
      <c r="H36" s="199"/>
      <c r="I36" s="199"/>
      <c r="J36" s="199"/>
      <c r="K36" s="199"/>
      <c r="L36" s="199"/>
      <c r="M36" s="199"/>
      <c r="N36" s="199"/>
      <c r="O36" s="199"/>
      <c r="P36" s="199"/>
      <c r="R36" s="199"/>
      <c r="S36" s="199"/>
      <c r="T36" s="199"/>
      <c r="U36" s="199"/>
      <c r="V36" s="199"/>
      <c r="W36" s="199"/>
      <c r="X36" s="199"/>
      <c r="Y36" s="199"/>
      <c r="Z36" s="199"/>
      <c r="AA36" s="199"/>
    </row>
    <row r="37" spans="2:27" s="6" customFormat="1" ht="7.35" customHeight="1" x14ac:dyDescent="0.25">
      <c r="B37" s="8"/>
      <c r="C37" s="8"/>
      <c r="D37" s="8"/>
      <c r="E37" s="8"/>
      <c r="F37" s="8"/>
      <c r="G37" s="8"/>
      <c r="H37" s="8"/>
    </row>
    <row r="38" spans="2:27" s="6" customFormat="1" ht="92.1" customHeight="1" x14ac:dyDescent="0.25">
      <c r="B38" s="201" t="s">
        <v>20</v>
      </c>
      <c r="C38" s="201"/>
      <c r="D38" s="201"/>
      <c r="E38" s="201"/>
      <c r="F38" s="201"/>
      <c r="G38" s="200" t="s">
        <v>127</v>
      </c>
      <c r="H38" s="200"/>
      <c r="I38" s="200"/>
      <c r="J38" s="200"/>
      <c r="K38" s="200"/>
      <c r="L38" s="200"/>
      <c r="M38" s="200"/>
      <c r="N38" s="200"/>
      <c r="O38" s="200"/>
      <c r="P38" s="200"/>
      <c r="R38" s="201" t="s">
        <v>21</v>
      </c>
      <c r="S38" s="201"/>
      <c r="T38" s="201"/>
      <c r="U38" s="208" t="s">
        <v>128</v>
      </c>
      <c r="V38" s="200"/>
      <c r="W38" s="200"/>
      <c r="X38" s="200"/>
      <c r="Y38" s="200"/>
      <c r="Z38" s="200"/>
      <c r="AA38" s="200"/>
    </row>
    <row r="39" spans="2:27" s="6" customFormat="1" ht="21.6" customHeight="1" x14ac:dyDescent="0.25">
      <c r="B39" s="211"/>
      <c r="C39" s="212"/>
      <c r="D39" s="212"/>
      <c r="E39" s="212"/>
      <c r="F39" s="212"/>
      <c r="G39" s="212"/>
      <c r="H39" s="212"/>
      <c r="I39" s="212"/>
      <c r="J39" s="212"/>
      <c r="K39" s="212"/>
      <c r="L39" s="212"/>
      <c r="M39" s="212"/>
      <c r="N39" s="212"/>
      <c r="O39" s="212"/>
      <c r="P39" s="212"/>
      <c r="R39" s="212"/>
      <c r="S39" s="212"/>
      <c r="T39" s="212"/>
      <c r="U39" s="212"/>
      <c r="V39" s="212"/>
      <c r="W39" s="212"/>
      <c r="X39" s="212"/>
      <c r="Y39" s="212"/>
      <c r="Z39" s="212"/>
      <c r="AA39" s="212"/>
    </row>
    <row r="40" spans="2:27" s="6" customFormat="1" ht="21.6" customHeight="1" x14ac:dyDescent="0.25">
      <c r="B40" s="212"/>
      <c r="C40" s="212"/>
      <c r="D40" s="212"/>
      <c r="E40" s="212"/>
      <c r="F40" s="212"/>
      <c r="G40" s="212"/>
      <c r="H40" s="212"/>
      <c r="I40" s="212"/>
      <c r="J40" s="212"/>
      <c r="K40" s="212"/>
      <c r="L40" s="212"/>
      <c r="M40" s="212"/>
      <c r="N40" s="212"/>
      <c r="O40" s="212"/>
      <c r="P40" s="212"/>
      <c r="R40" s="212"/>
      <c r="S40" s="212"/>
      <c r="T40" s="212"/>
      <c r="U40" s="212"/>
      <c r="V40" s="212"/>
      <c r="W40" s="212"/>
      <c r="X40" s="212"/>
      <c r="Y40" s="212"/>
      <c r="Z40" s="212"/>
      <c r="AA40" s="212"/>
    </row>
    <row r="41" spans="2:27" s="6" customFormat="1" ht="21.6" customHeight="1" x14ac:dyDescent="0.25">
      <c r="B41" s="212"/>
      <c r="C41" s="212"/>
      <c r="D41" s="212"/>
      <c r="E41" s="212"/>
      <c r="F41" s="212"/>
      <c r="G41" s="212"/>
      <c r="H41" s="212"/>
      <c r="I41" s="212"/>
      <c r="J41" s="212"/>
      <c r="K41" s="212"/>
      <c r="L41" s="212"/>
      <c r="M41" s="212"/>
      <c r="N41" s="212"/>
      <c r="O41" s="212"/>
      <c r="P41" s="212"/>
      <c r="R41" s="212"/>
      <c r="S41" s="212"/>
      <c r="T41" s="212"/>
      <c r="U41" s="212"/>
      <c r="V41" s="212"/>
      <c r="W41" s="212"/>
      <c r="X41" s="212"/>
      <c r="Y41" s="212"/>
      <c r="Z41" s="212"/>
      <c r="AA41" s="212"/>
    </row>
    <row r="42" spans="2:27" s="6" customFormat="1" ht="21.6" customHeight="1" x14ac:dyDescent="0.25">
      <c r="B42" s="212"/>
      <c r="C42" s="212"/>
      <c r="D42" s="212"/>
      <c r="E42" s="212"/>
      <c r="F42" s="212"/>
      <c r="G42" s="212"/>
      <c r="H42" s="212"/>
      <c r="I42" s="212"/>
      <c r="J42" s="212"/>
      <c r="K42" s="212"/>
      <c r="L42" s="212"/>
      <c r="M42" s="212"/>
      <c r="N42" s="212"/>
      <c r="O42" s="212"/>
      <c r="P42" s="212"/>
      <c r="R42" s="212"/>
      <c r="S42" s="212"/>
      <c r="T42" s="212"/>
      <c r="U42" s="212"/>
      <c r="V42" s="212"/>
      <c r="W42" s="212"/>
      <c r="X42" s="212"/>
      <c r="Y42" s="212"/>
      <c r="Z42" s="212"/>
      <c r="AA42" s="212"/>
    </row>
    <row r="43" spans="2:27" s="6" customFormat="1" ht="7.35" customHeight="1" x14ac:dyDescent="0.25">
      <c r="B43" s="8"/>
      <c r="C43" s="8"/>
      <c r="D43" s="8"/>
      <c r="E43" s="8"/>
      <c r="F43" s="8"/>
      <c r="G43" s="8"/>
      <c r="H43" s="8"/>
    </row>
    <row r="44" spans="2:27" s="6" customFormat="1" ht="81.599999999999994" customHeight="1" x14ac:dyDescent="0.25">
      <c r="B44" s="201" t="s">
        <v>22</v>
      </c>
      <c r="C44" s="201"/>
      <c r="D44" s="201"/>
      <c r="E44" s="201"/>
      <c r="F44" s="201"/>
      <c r="G44" s="200" t="s">
        <v>129</v>
      </c>
      <c r="H44" s="200"/>
      <c r="I44" s="200"/>
      <c r="J44" s="200"/>
      <c r="K44" s="200"/>
      <c r="L44" s="200"/>
      <c r="M44" s="200"/>
      <c r="N44" s="200"/>
      <c r="O44" s="200"/>
      <c r="P44" s="200"/>
      <c r="R44" s="220" t="s">
        <v>23</v>
      </c>
      <c r="S44" s="221"/>
      <c r="T44" s="221"/>
      <c r="U44" s="210" t="s">
        <v>130</v>
      </c>
      <c r="V44" s="210"/>
      <c r="W44" s="210"/>
      <c r="X44" s="210"/>
      <c r="Y44" s="210"/>
      <c r="Z44" s="210"/>
      <c r="AA44" s="210"/>
    </row>
    <row r="45" spans="2:27" s="6" customFormat="1" ht="21.6" customHeight="1" x14ac:dyDescent="0.25">
      <c r="B45" s="213"/>
      <c r="C45" s="214"/>
      <c r="D45" s="214"/>
      <c r="E45" s="214"/>
      <c r="F45" s="214"/>
      <c r="G45" s="214"/>
      <c r="H45" s="214"/>
      <c r="I45" s="214"/>
      <c r="J45" s="214"/>
      <c r="K45" s="214"/>
      <c r="L45" s="214"/>
      <c r="M45" s="214"/>
      <c r="N45" s="214"/>
      <c r="O45" s="214"/>
      <c r="P45" s="214"/>
      <c r="R45" s="213"/>
      <c r="S45" s="214"/>
      <c r="T45" s="214"/>
      <c r="U45" s="214"/>
      <c r="V45" s="214"/>
      <c r="W45" s="214"/>
      <c r="X45" s="214"/>
      <c r="Y45" s="214"/>
      <c r="Z45" s="214"/>
      <c r="AA45" s="214"/>
    </row>
    <row r="46" spans="2:27" s="6" customFormat="1" ht="21.6" customHeight="1" x14ac:dyDescent="0.25">
      <c r="B46" s="214"/>
      <c r="C46" s="214"/>
      <c r="D46" s="214"/>
      <c r="E46" s="214"/>
      <c r="F46" s="214"/>
      <c r="G46" s="214"/>
      <c r="H46" s="214"/>
      <c r="I46" s="214"/>
      <c r="J46" s="214"/>
      <c r="K46" s="214"/>
      <c r="L46" s="214"/>
      <c r="M46" s="214"/>
      <c r="N46" s="214"/>
      <c r="O46" s="214"/>
      <c r="P46" s="214"/>
      <c r="R46" s="214"/>
      <c r="S46" s="214"/>
      <c r="T46" s="214"/>
      <c r="U46" s="214"/>
      <c r="V46" s="214"/>
      <c r="W46" s="214"/>
      <c r="X46" s="214"/>
      <c r="Y46" s="214"/>
      <c r="Z46" s="214"/>
      <c r="AA46" s="214"/>
    </row>
    <row r="47" spans="2:27" s="6" customFormat="1" ht="21.6" customHeight="1" x14ac:dyDescent="0.25">
      <c r="B47" s="214"/>
      <c r="C47" s="214"/>
      <c r="D47" s="214"/>
      <c r="E47" s="214"/>
      <c r="F47" s="214"/>
      <c r="G47" s="214"/>
      <c r="H47" s="214"/>
      <c r="I47" s="214"/>
      <c r="J47" s="214"/>
      <c r="K47" s="214"/>
      <c r="L47" s="214"/>
      <c r="M47" s="214"/>
      <c r="N47" s="214"/>
      <c r="O47" s="214"/>
      <c r="P47" s="214"/>
      <c r="R47" s="214"/>
      <c r="S47" s="214"/>
      <c r="T47" s="214"/>
      <c r="U47" s="214"/>
      <c r="V47" s="214"/>
      <c r="W47" s="214"/>
      <c r="X47" s="214"/>
      <c r="Y47" s="214"/>
      <c r="Z47" s="214"/>
      <c r="AA47" s="214"/>
    </row>
    <row r="48" spans="2:27" s="6" customFormat="1" ht="21.6" customHeight="1" x14ac:dyDescent="0.25">
      <c r="B48" s="214"/>
      <c r="C48" s="214"/>
      <c r="D48" s="214"/>
      <c r="E48" s="214"/>
      <c r="F48" s="214"/>
      <c r="G48" s="214"/>
      <c r="H48" s="214"/>
      <c r="I48" s="214"/>
      <c r="J48" s="214"/>
      <c r="K48" s="214"/>
      <c r="L48" s="214"/>
      <c r="M48" s="214"/>
      <c r="N48" s="214"/>
      <c r="O48" s="214"/>
      <c r="P48" s="214"/>
      <c r="R48" s="214"/>
      <c r="S48" s="214"/>
      <c r="T48" s="214"/>
      <c r="U48" s="214"/>
      <c r="V48" s="214"/>
      <c r="W48" s="214"/>
      <c r="X48" s="214"/>
      <c r="Y48" s="214"/>
      <c r="Z48" s="214"/>
      <c r="AA48" s="214"/>
    </row>
    <row r="49" spans="2:27" s="6" customFormat="1" ht="7.35" customHeight="1" x14ac:dyDescent="0.25">
      <c r="B49" s="8"/>
      <c r="C49" s="8"/>
      <c r="D49" s="8"/>
      <c r="E49" s="8"/>
      <c r="F49" s="8"/>
      <c r="G49" s="8"/>
      <c r="H49" s="8"/>
    </row>
    <row r="50" spans="2:27" s="6" customFormat="1" ht="71.25" customHeight="1" x14ac:dyDescent="0.25">
      <c r="B50" s="201" t="s">
        <v>24</v>
      </c>
      <c r="C50" s="201"/>
      <c r="D50" s="201"/>
      <c r="E50" s="201"/>
      <c r="F50" s="209"/>
      <c r="G50" s="210" t="s">
        <v>131</v>
      </c>
      <c r="H50" s="210"/>
      <c r="I50" s="210"/>
      <c r="J50" s="210"/>
      <c r="K50" s="210"/>
      <c r="L50" s="210"/>
      <c r="M50" s="210"/>
      <c r="N50" s="210"/>
      <c r="O50" s="210"/>
      <c r="P50" s="210"/>
      <c r="R50" s="220" t="s">
        <v>25</v>
      </c>
      <c r="S50" s="221"/>
      <c r="T50" s="221"/>
      <c r="U50" s="210" t="s">
        <v>132</v>
      </c>
      <c r="V50" s="210"/>
      <c r="W50" s="210"/>
      <c r="X50" s="210"/>
      <c r="Y50" s="210"/>
      <c r="Z50" s="210"/>
      <c r="AA50" s="210"/>
    </row>
    <row r="51" spans="2:27" s="6" customFormat="1" ht="21.6" customHeight="1" x14ac:dyDescent="0.25">
      <c r="B51" s="214"/>
      <c r="C51" s="214"/>
      <c r="D51" s="214"/>
      <c r="E51" s="214"/>
      <c r="F51" s="214"/>
      <c r="G51" s="214"/>
      <c r="H51" s="214"/>
      <c r="I51" s="214"/>
      <c r="J51" s="214"/>
      <c r="K51" s="214"/>
      <c r="L51" s="214"/>
      <c r="M51" s="214"/>
      <c r="N51" s="214"/>
      <c r="O51" s="214"/>
      <c r="P51" s="214"/>
      <c r="R51" s="214"/>
      <c r="S51" s="214"/>
      <c r="T51" s="214"/>
      <c r="U51" s="255"/>
      <c r="V51" s="255"/>
      <c r="W51" s="255"/>
      <c r="X51" s="255"/>
      <c r="Y51" s="255"/>
      <c r="Z51" s="255"/>
      <c r="AA51" s="255"/>
    </row>
    <row r="52" spans="2:27" s="6" customFormat="1" ht="21.6" customHeight="1" x14ac:dyDescent="0.25">
      <c r="B52" s="214"/>
      <c r="C52" s="214"/>
      <c r="D52" s="214"/>
      <c r="E52" s="214"/>
      <c r="F52" s="214"/>
      <c r="G52" s="214"/>
      <c r="H52" s="214"/>
      <c r="I52" s="214"/>
      <c r="J52" s="214"/>
      <c r="K52" s="214"/>
      <c r="L52" s="214"/>
      <c r="M52" s="214"/>
      <c r="N52" s="214"/>
      <c r="O52" s="214"/>
      <c r="P52" s="214"/>
      <c r="R52" s="214"/>
      <c r="S52" s="214"/>
      <c r="T52" s="214"/>
      <c r="U52" s="214"/>
      <c r="V52" s="214"/>
      <c r="W52" s="214"/>
      <c r="X52" s="214"/>
      <c r="Y52" s="214"/>
      <c r="Z52" s="214"/>
      <c r="AA52" s="214"/>
    </row>
    <row r="53" spans="2:27" s="6" customFormat="1" ht="21.6" customHeight="1" x14ac:dyDescent="0.25">
      <c r="B53" s="214"/>
      <c r="C53" s="214"/>
      <c r="D53" s="214"/>
      <c r="E53" s="214"/>
      <c r="F53" s="214"/>
      <c r="G53" s="214"/>
      <c r="H53" s="214"/>
      <c r="I53" s="214"/>
      <c r="J53" s="214"/>
      <c r="K53" s="214"/>
      <c r="L53" s="214"/>
      <c r="M53" s="214"/>
      <c r="N53" s="214"/>
      <c r="O53" s="214"/>
      <c r="P53" s="214"/>
      <c r="R53" s="214"/>
      <c r="S53" s="214"/>
      <c r="T53" s="214"/>
      <c r="U53" s="214"/>
      <c r="V53" s="214"/>
      <c r="W53" s="214"/>
      <c r="X53" s="214"/>
      <c r="Y53" s="214"/>
      <c r="Z53" s="214"/>
      <c r="AA53" s="214"/>
    </row>
    <row r="54" spans="2:27" s="6" customFormat="1" ht="21.6" customHeight="1" x14ac:dyDescent="0.25">
      <c r="B54" s="214"/>
      <c r="C54" s="214"/>
      <c r="D54" s="214"/>
      <c r="E54" s="214"/>
      <c r="F54" s="214"/>
      <c r="G54" s="214"/>
      <c r="H54" s="214"/>
      <c r="I54" s="214"/>
      <c r="J54" s="214"/>
      <c r="K54" s="214"/>
      <c r="L54" s="214"/>
      <c r="M54" s="214"/>
      <c r="N54" s="214"/>
      <c r="O54" s="214"/>
      <c r="P54" s="214"/>
      <c r="R54" s="214"/>
      <c r="S54" s="214"/>
      <c r="T54" s="214"/>
      <c r="U54" s="214"/>
      <c r="V54" s="214"/>
      <c r="W54" s="214"/>
      <c r="X54" s="214"/>
      <c r="Y54" s="214"/>
      <c r="Z54" s="214"/>
      <c r="AA54" s="214"/>
    </row>
    <row r="55" spans="2:27" s="6" customFormat="1" ht="7.35" customHeight="1" x14ac:dyDescent="0.25">
      <c r="B55" s="8"/>
      <c r="C55" s="8"/>
      <c r="D55" s="8"/>
      <c r="E55" s="8"/>
      <c r="F55" s="8"/>
      <c r="G55" s="8"/>
      <c r="H55" s="8"/>
    </row>
    <row r="56" spans="2:27" s="6" customFormat="1" ht="40.5" customHeight="1" x14ac:dyDescent="0.25">
      <c r="B56" s="256" t="s">
        <v>26</v>
      </c>
      <c r="C56" s="256"/>
      <c r="D56" s="256"/>
      <c r="E56" s="256"/>
      <c r="F56" s="256"/>
      <c r="G56" s="256"/>
      <c r="H56" s="256"/>
      <c r="I56" s="256"/>
      <c r="J56" s="256"/>
      <c r="K56" s="256"/>
      <c r="L56" s="256"/>
      <c r="M56" s="256"/>
      <c r="N56" s="256"/>
      <c r="O56" s="256"/>
      <c r="P56" s="256"/>
      <c r="Q56" s="256"/>
      <c r="R56" s="256"/>
      <c r="S56" s="256"/>
      <c r="T56" s="256"/>
      <c r="U56" s="256"/>
      <c r="V56" s="256"/>
      <c r="W56" s="256"/>
      <c r="X56" s="256"/>
      <c r="Y56" s="256"/>
      <c r="Z56" s="256"/>
      <c r="AA56" s="256"/>
    </row>
    <row r="57" spans="2:27" s="6" customFormat="1" ht="23.85" customHeight="1" x14ac:dyDescent="0.25">
      <c r="B57" s="257"/>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c r="AA57" s="216"/>
    </row>
    <row r="58" spans="2:27" s="6" customFormat="1" ht="23.85" customHeight="1" x14ac:dyDescent="0.25">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c r="AA58" s="216"/>
    </row>
    <row r="59" spans="2:27" s="6" customFormat="1" ht="23.85" customHeight="1" x14ac:dyDescent="0.25">
      <c r="B59" s="216"/>
      <c r="C59" s="216"/>
      <c r="D59" s="216"/>
      <c r="E59" s="216"/>
      <c r="F59" s="216"/>
      <c r="G59" s="216"/>
      <c r="H59" s="216"/>
      <c r="I59" s="216"/>
      <c r="J59" s="216"/>
      <c r="K59" s="216"/>
      <c r="L59" s="216"/>
      <c r="M59" s="216"/>
      <c r="N59" s="216"/>
      <c r="O59" s="216"/>
      <c r="P59" s="216"/>
      <c r="Q59" s="216"/>
      <c r="R59" s="216"/>
      <c r="S59" s="216"/>
      <c r="T59" s="216"/>
      <c r="U59" s="216"/>
      <c r="V59" s="216"/>
      <c r="W59" s="216"/>
      <c r="X59" s="216"/>
      <c r="Y59" s="216"/>
      <c r="Z59" s="216"/>
      <c r="AA59" s="216"/>
    </row>
    <row r="60" spans="2:27" s="6" customFormat="1" ht="23.85" customHeight="1" x14ac:dyDescent="0.25">
      <c r="B60" s="216"/>
      <c r="C60" s="216"/>
      <c r="D60" s="216"/>
      <c r="E60" s="216"/>
      <c r="F60" s="216"/>
      <c r="G60" s="216"/>
      <c r="H60" s="216"/>
      <c r="I60" s="216"/>
      <c r="J60" s="216"/>
      <c r="K60" s="216"/>
      <c r="L60" s="216"/>
      <c r="M60" s="216"/>
      <c r="N60" s="216"/>
      <c r="O60" s="216"/>
      <c r="P60" s="216"/>
      <c r="Q60" s="216"/>
      <c r="R60" s="216"/>
      <c r="S60" s="216"/>
      <c r="T60" s="216"/>
      <c r="U60" s="216"/>
      <c r="V60" s="216"/>
      <c r="W60" s="216"/>
      <c r="X60" s="216"/>
      <c r="Y60" s="216"/>
      <c r="Z60" s="216"/>
      <c r="AA60" s="216"/>
    </row>
    <row r="61" spans="2:27" s="6" customFormat="1" ht="11.1" customHeight="1" x14ac:dyDescent="0.25">
      <c r="B61" s="30"/>
      <c r="C61" s="30"/>
      <c r="D61" s="30"/>
      <c r="E61" s="30"/>
      <c r="F61" s="30"/>
      <c r="G61" s="30"/>
      <c r="H61" s="30"/>
      <c r="I61" s="30"/>
      <c r="J61" s="30"/>
      <c r="K61" s="30"/>
      <c r="L61" s="30"/>
      <c r="M61" s="30"/>
      <c r="N61" s="30"/>
      <c r="O61" s="30"/>
      <c r="P61" s="30"/>
      <c r="Q61" s="30"/>
      <c r="R61" s="30"/>
      <c r="S61" s="30"/>
      <c r="T61" s="30"/>
      <c r="U61" s="30"/>
      <c r="V61" s="30"/>
      <c r="W61" s="30"/>
    </row>
    <row r="62" spans="2:27" s="3" customFormat="1" ht="45" customHeight="1" x14ac:dyDescent="0.25">
      <c r="B62" s="222" t="s">
        <v>133</v>
      </c>
      <c r="C62" s="222"/>
      <c r="D62" s="222"/>
      <c r="E62" s="222"/>
      <c r="F62" s="222"/>
      <c r="G62" s="222"/>
      <c r="H62" s="222"/>
      <c r="I62" s="222"/>
      <c r="J62" s="222"/>
      <c r="K62" s="222"/>
      <c r="M62" s="258" t="s">
        <v>27</v>
      </c>
      <c r="N62" s="222"/>
      <c r="O62" s="222"/>
      <c r="P62" s="222"/>
      <c r="Q62" s="222"/>
      <c r="R62" s="222"/>
      <c r="S62" s="222"/>
      <c r="T62" s="222"/>
      <c r="U62" s="222"/>
      <c r="V62" s="222"/>
      <c r="W62" s="222"/>
      <c r="X62" s="222"/>
      <c r="Y62" s="222"/>
      <c r="Z62" s="222"/>
      <c r="AA62" s="222"/>
    </row>
    <row r="63" spans="2:27" s="3" customFormat="1" ht="5.0999999999999996" customHeight="1" x14ac:dyDescent="0.25">
      <c r="B63" s="9"/>
      <c r="C63" s="9"/>
      <c r="D63" s="9"/>
      <c r="E63" s="9"/>
      <c r="F63" s="9"/>
      <c r="G63" s="9"/>
      <c r="H63" s="9"/>
      <c r="I63" s="9"/>
      <c r="J63" s="9"/>
      <c r="K63" s="9"/>
      <c r="M63" s="9"/>
      <c r="N63" s="9"/>
      <c r="O63" s="9"/>
      <c r="P63" s="9"/>
      <c r="Q63" s="9"/>
      <c r="R63" s="9"/>
      <c r="S63" s="9"/>
      <c r="T63" s="9"/>
      <c r="U63" s="9"/>
      <c r="V63" s="9"/>
      <c r="W63" s="9"/>
      <c r="X63" s="9"/>
      <c r="Y63" s="1"/>
      <c r="Z63" s="1"/>
    </row>
    <row r="64" spans="2:27" s="4" customFormat="1" ht="59.85" customHeight="1" x14ac:dyDescent="0.3">
      <c r="B64" s="259" t="s">
        <v>28</v>
      </c>
      <c r="C64" s="260"/>
      <c r="D64" s="260"/>
      <c r="E64" s="260"/>
      <c r="F64" s="260"/>
      <c r="G64" s="260"/>
      <c r="H64" s="260"/>
      <c r="I64" s="260"/>
      <c r="J64" s="260"/>
      <c r="K64" s="261"/>
      <c r="M64" s="182" t="s">
        <v>29</v>
      </c>
      <c r="N64" s="183"/>
      <c r="O64" s="183"/>
      <c r="P64" s="183"/>
      <c r="Q64" s="183"/>
      <c r="R64" s="183"/>
      <c r="S64" s="184"/>
      <c r="T64" s="187" t="s">
        <v>134</v>
      </c>
      <c r="U64" s="188"/>
      <c r="V64" s="188"/>
      <c r="W64" s="188"/>
      <c r="X64" s="189"/>
      <c r="Y64" s="185" t="s">
        <v>30</v>
      </c>
      <c r="Z64" s="186"/>
      <c r="AA64" s="49" t="s">
        <v>31</v>
      </c>
    </row>
    <row r="65" spans="2:27" s="4" customFormat="1" ht="5.0999999999999996" customHeight="1" x14ac:dyDescent="0.3">
      <c r="B65" s="33"/>
      <c r="E65" s="147"/>
      <c r="K65" s="34"/>
      <c r="Y65" s="1"/>
      <c r="Z65" s="1"/>
    </row>
    <row r="66" spans="2:27" s="4" customFormat="1" ht="56.85" customHeight="1" x14ac:dyDescent="0.3">
      <c r="B66" s="33"/>
      <c r="C66" s="136" t="s">
        <v>140</v>
      </c>
      <c r="D66" s="137"/>
      <c r="E66" s="138" t="s">
        <v>32</v>
      </c>
      <c r="F66" s="139"/>
      <c r="G66" s="140" t="s">
        <v>33</v>
      </c>
      <c r="H66" s="35"/>
      <c r="I66" s="180" t="s">
        <v>34</v>
      </c>
      <c r="J66" s="180"/>
      <c r="K66" s="181"/>
      <c r="M66" s="190"/>
      <c r="N66" s="190"/>
      <c r="O66" s="190"/>
      <c r="P66" s="190"/>
      <c r="Q66" s="190"/>
      <c r="R66" s="190"/>
      <c r="S66" s="190"/>
      <c r="T66" s="191"/>
      <c r="U66" s="192"/>
      <c r="V66" s="192"/>
      <c r="W66" s="192"/>
      <c r="X66" s="193"/>
      <c r="Y66" s="194"/>
      <c r="Z66" s="195"/>
      <c r="AA66" s="110"/>
    </row>
    <row r="67" spans="2:27" s="4" customFormat="1" ht="5.0999999999999996" customHeight="1" x14ac:dyDescent="0.3">
      <c r="B67" s="33"/>
      <c r="C67" s="136"/>
      <c r="D67" s="141"/>
      <c r="E67" s="138"/>
      <c r="F67" s="141"/>
      <c r="G67" s="140"/>
      <c r="H67" s="37"/>
      <c r="I67" s="36"/>
      <c r="K67" s="34"/>
      <c r="M67" s="159"/>
      <c r="N67" s="159"/>
      <c r="O67" s="159"/>
      <c r="P67" s="159"/>
      <c r="Q67" s="159"/>
      <c r="R67" s="159"/>
      <c r="S67" s="159"/>
      <c r="T67" s="55"/>
      <c r="U67" s="55"/>
      <c r="V67" s="55"/>
      <c r="W67" s="55"/>
      <c r="X67" s="55"/>
      <c r="Y67" s="1"/>
      <c r="Z67" s="1"/>
      <c r="AA67" s="82"/>
    </row>
    <row r="68" spans="2:27" s="4" customFormat="1" ht="57" customHeight="1" x14ac:dyDescent="0.3">
      <c r="B68" s="33"/>
      <c r="C68" s="136" t="s">
        <v>140</v>
      </c>
      <c r="D68" s="137"/>
      <c r="E68" s="138" t="s">
        <v>32</v>
      </c>
      <c r="F68" s="139"/>
      <c r="G68" s="140" t="s">
        <v>33</v>
      </c>
      <c r="H68" s="35"/>
      <c r="I68" s="180" t="s">
        <v>35</v>
      </c>
      <c r="J68" s="180"/>
      <c r="K68" s="181"/>
      <c r="M68" s="190"/>
      <c r="N68" s="190"/>
      <c r="O68" s="190"/>
      <c r="P68" s="190"/>
      <c r="Q68" s="190"/>
      <c r="R68" s="190"/>
      <c r="S68" s="190"/>
      <c r="T68" s="190"/>
      <c r="U68" s="190"/>
      <c r="V68" s="190"/>
      <c r="W68" s="190"/>
      <c r="X68" s="190"/>
      <c r="Y68" s="194"/>
      <c r="Z68" s="195"/>
      <c r="AA68" s="110"/>
    </row>
    <row r="69" spans="2:27" s="4" customFormat="1" ht="5.0999999999999996" customHeight="1" x14ac:dyDescent="0.3">
      <c r="B69" s="33"/>
      <c r="C69" s="136"/>
      <c r="D69" s="141"/>
      <c r="E69" s="138"/>
      <c r="F69" s="141"/>
      <c r="G69" s="140"/>
      <c r="H69" s="37"/>
      <c r="I69" s="36"/>
      <c r="K69" s="34"/>
      <c r="M69" s="56"/>
      <c r="N69" s="56"/>
      <c r="O69" s="55"/>
      <c r="P69" s="55"/>
      <c r="Q69" s="55"/>
      <c r="R69" s="55"/>
      <c r="S69" s="55"/>
      <c r="T69" s="57"/>
      <c r="U69" s="57"/>
      <c r="V69" s="57"/>
      <c r="W69" s="57"/>
      <c r="X69" s="57"/>
      <c r="Y69" s="1"/>
      <c r="Z69" s="1"/>
    </row>
    <row r="70" spans="2:27" s="4" customFormat="1" ht="56.85" customHeight="1" x14ac:dyDescent="0.3">
      <c r="B70" s="33"/>
      <c r="C70" s="136" t="s">
        <v>140</v>
      </c>
      <c r="D70" s="137"/>
      <c r="E70" s="138" t="s">
        <v>32</v>
      </c>
      <c r="F70" s="139"/>
      <c r="G70" s="140" t="s">
        <v>33</v>
      </c>
      <c r="H70" s="35"/>
      <c r="I70" s="180" t="s">
        <v>36</v>
      </c>
      <c r="J70" s="180"/>
      <c r="K70" s="181"/>
      <c r="M70" s="159"/>
      <c r="N70" s="159"/>
      <c r="O70" s="159"/>
      <c r="P70" s="159"/>
      <c r="Q70" s="159"/>
      <c r="R70" s="159"/>
      <c r="S70" s="159"/>
      <c r="T70" s="159"/>
      <c r="U70" s="159"/>
      <c r="V70" s="159"/>
      <c r="W70" s="159"/>
      <c r="X70" s="159"/>
      <c r="Y70" s="160"/>
      <c r="Z70" s="160"/>
      <c r="AA70" s="80"/>
    </row>
    <row r="71" spans="2:27" s="4" customFormat="1" ht="5.0999999999999996" customHeight="1" x14ac:dyDescent="0.3">
      <c r="B71" s="33"/>
      <c r="C71" s="136"/>
      <c r="D71" s="141"/>
      <c r="E71" s="138"/>
      <c r="F71" s="141"/>
      <c r="G71" s="140"/>
      <c r="H71" s="37"/>
      <c r="I71" s="36"/>
      <c r="J71" s="36"/>
      <c r="K71" s="38"/>
      <c r="M71" s="159"/>
      <c r="N71" s="159"/>
      <c r="O71" s="159"/>
      <c r="P71" s="159"/>
      <c r="Q71" s="159"/>
      <c r="R71" s="159"/>
      <c r="S71" s="159"/>
      <c r="T71" s="57"/>
      <c r="U71" s="57"/>
      <c r="V71" s="57"/>
      <c r="W71" s="57"/>
      <c r="X71" s="57"/>
      <c r="Y71" s="1"/>
      <c r="Z71" s="1"/>
    </row>
    <row r="72" spans="2:27" s="4" customFormat="1" ht="56.85" customHeight="1" x14ac:dyDescent="0.3">
      <c r="B72" s="33"/>
      <c r="C72" s="136" t="s">
        <v>140</v>
      </c>
      <c r="D72" s="137"/>
      <c r="E72" s="138" t="s">
        <v>32</v>
      </c>
      <c r="F72" s="139"/>
      <c r="G72" s="140" t="s">
        <v>33</v>
      </c>
      <c r="H72" s="35"/>
      <c r="I72" s="179" t="s">
        <v>37</v>
      </c>
      <c r="J72" s="180"/>
      <c r="K72" s="181"/>
      <c r="M72" s="159"/>
      <c r="N72" s="159"/>
      <c r="O72" s="159"/>
      <c r="P72" s="159"/>
      <c r="Q72" s="159"/>
      <c r="R72" s="159"/>
      <c r="S72" s="159"/>
      <c r="T72" s="159"/>
      <c r="U72" s="159"/>
      <c r="V72" s="159"/>
      <c r="W72" s="159"/>
      <c r="X72" s="159"/>
      <c r="Y72" s="160"/>
      <c r="Z72" s="160"/>
      <c r="AA72" s="80"/>
    </row>
    <row r="73" spans="2:27" s="13" customFormat="1" ht="5.0999999999999996" customHeight="1" x14ac:dyDescent="0.35">
      <c r="B73" s="39"/>
      <c r="C73" s="136"/>
      <c r="D73" s="142"/>
      <c r="E73" s="138"/>
      <c r="F73" s="143"/>
      <c r="G73" s="140"/>
      <c r="H73" s="17"/>
      <c r="I73" s="40"/>
      <c r="J73" s="40"/>
      <c r="K73" s="41"/>
      <c r="M73" s="58"/>
      <c r="N73" s="58"/>
      <c r="O73" s="59"/>
      <c r="P73" s="60"/>
      <c r="Q73" s="61"/>
      <c r="R73" s="61"/>
      <c r="S73" s="62"/>
      <c r="T73" s="63"/>
      <c r="U73" s="58"/>
      <c r="V73" s="58"/>
      <c r="W73" s="58"/>
      <c r="X73" s="64"/>
      <c r="Y73" s="1"/>
      <c r="Z73" s="1"/>
    </row>
    <row r="74" spans="2:27" s="13" customFormat="1" ht="56.85" customHeight="1" x14ac:dyDescent="0.35">
      <c r="B74" s="39"/>
      <c r="C74" s="136" t="s">
        <v>140</v>
      </c>
      <c r="D74" s="137"/>
      <c r="E74" s="138" t="s">
        <v>32</v>
      </c>
      <c r="F74" s="139"/>
      <c r="G74" s="140" t="s">
        <v>33</v>
      </c>
      <c r="H74" s="20"/>
      <c r="I74" s="179" t="s">
        <v>38</v>
      </c>
      <c r="J74" s="180"/>
      <c r="K74" s="181"/>
      <c r="M74" s="159"/>
      <c r="N74" s="159"/>
      <c r="O74" s="159"/>
      <c r="P74" s="159"/>
      <c r="Q74" s="159"/>
      <c r="R74" s="159"/>
      <c r="S74" s="159"/>
      <c r="T74" s="196"/>
      <c r="U74" s="197"/>
      <c r="V74" s="197"/>
      <c r="W74" s="197"/>
      <c r="X74" s="198"/>
      <c r="Y74" s="194"/>
      <c r="Z74" s="195"/>
      <c r="AA74" s="110"/>
    </row>
    <row r="75" spans="2:27" s="13" customFormat="1" ht="5.0999999999999996" customHeight="1" x14ac:dyDescent="0.35">
      <c r="B75" s="39"/>
      <c r="C75" s="136"/>
      <c r="D75" s="141"/>
      <c r="E75" s="141"/>
      <c r="F75" s="141"/>
      <c r="G75" s="140"/>
      <c r="H75" s="42"/>
      <c r="I75" s="43"/>
      <c r="J75" s="43"/>
      <c r="K75" s="44"/>
      <c r="M75" s="65"/>
      <c r="N75" s="58"/>
      <c r="O75" s="59"/>
      <c r="P75" s="60"/>
      <c r="Q75" s="61"/>
      <c r="R75" s="61"/>
      <c r="S75" s="62"/>
      <c r="T75" s="63"/>
      <c r="U75" s="58"/>
      <c r="V75" s="58"/>
      <c r="W75" s="58"/>
      <c r="X75" s="64"/>
      <c r="Y75" s="1"/>
      <c r="Z75" s="1"/>
    </row>
    <row r="76" spans="2:27" s="13" customFormat="1" ht="56.85" customHeight="1" x14ac:dyDescent="0.35">
      <c r="B76" s="39"/>
      <c r="C76" s="136" t="s">
        <v>140</v>
      </c>
      <c r="D76" s="137"/>
      <c r="E76" s="138" t="s">
        <v>32</v>
      </c>
      <c r="F76" s="139"/>
      <c r="G76" s="140" t="s">
        <v>33</v>
      </c>
      <c r="H76" s="20"/>
      <c r="I76" s="179" t="s">
        <v>39</v>
      </c>
      <c r="J76" s="180"/>
      <c r="K76" s="181"/>
      <c r="M76" s="159"/>
      <c r="N76" s="159"/>
      <c r="O76" s="159"/>
      <c r="P76" s="159"/>
      <c r="Q76" s="159"/>
      <c r="R76" s="159"/>
      <c r="S76" s="159"/>
      <c r="T76" s="159"/>
      <c r="U76" s="159"/>
      <c r="V76" s="159"/>
      <c r="W76" s="159"/>
      <c r="X76" s="159"/>
      <c r="Y76" s="194"/>
      <c r="Z76" s="195"/>
      <c r="AA76" s="110"/>
    </row>
    <row r="77" spans="2:27" s="13" customFormat="1" ht="5.0999999999999996" customHeight="1" x14ac:dyDescent="0.35">
      <c r="B77" s="39"/>
      <c r="C77" s="136"/>
      <c r="D77" s="141"/>
      <c r="E77" s="138"/>
      <c r="F77" s="141"/>
      <c r="G77" s="140"/>
      <c r="H77" s="42"/>
      <c r="I77" s="43"/>
      <c r="J77" s="43"/>
      <c r="K77" s="44"/>
      <c r="M77" s="65"/>
      <c r="N77" s="58"/>
      <c r="O77" s="59"/>
      <c r="P77" s="60"/>
      <c r="Q77" s="61"/>
      <c r="R77" s="61"/>
      <c r="S77" s="62"/>
      <c r="T77" s="63"/>
      <c r="U77" s="58"/>
      <c r="V77" s="58"/>
      <c r="W77" s="58"/>
      <c r="X77" s="64"/>
      <c r="Y77" s="1"/>
      <c r="Z77" s="1"/>
    </row>
    <row r="78" spans="2:27" s="13" customFormat="1" ht="75.75" customHeight="1" x14ac:dyDescent="0.35">
      <c r="B78" s="39"/>
      <c r="C78" s="136" t="s">
        <v>140</v>
      </c>
      <c r="D78" s="137"/>
      <c r="E78" s="138" t="s">
        <v>32</v>
      </c>
      <c r="F78" s="139"/>
      <c r="G78" s="140" t="s">
        <v>33</v>
      </c>
      <c r="H78" s="20"/>
      <c r="I78" s="179" t="s">
        <v>40</v>
      </c>
      <c r="J78" s="180"/>
      <c r="K78" s="181"/>
      <c r="M78" s="159"/>
      <c r="N78" s="159"/>
      <c r="O78" s="159"/>
      <c r="P78" s="159"/>
      <c r="Q78" s="159"/>
      <c r="R78" s="159"/>
      <c r="S78" s="159"/>
      <c r="T78" s="159"/>
      <c r="U78" s="159"/>
      <c r="V78" s="159"/>
      <c r="W78" s="159"/>
      <c r="X78" s="159"/>
      <c r="Y78" s="160"/>
      <c r="Z78" s="160"/>
      <c r="AA78" s="5"/>
    </row>
    <row r="79" spans="2:27" s="13" customFormat="1" ht="44.85" customHeight="1" x14ac:dyDescent="0.35">
      <c r="B79" s="45"/>
      <c r="C79" s="46"/>
      <c r="D79" s="46"/>
      <c r="E79" s="46"/>
      <c r="F79" s="46"/>
      <c r="G79" s="46"/>
      <c r="H79" s="47"/>
      <c r="I79" s="48"/>
      <c r="J79" s="48"/>
      <c r="K79" s="32"/>
      <c r="L79" s="22"/>
      <c r="M79" s="18"/>
      <c r="N79" s="14"/>
      <c r="O79" s="15"/>
      <c r="P79" s="16"/>
      <c r="Q79" s="16"/>
      <c r="R79" s="17"/>
      <c r="S79" s="19"/>
      <c r="T79" s="18"/>
      <c r="U79" s="18"/>
      <c r="V79" s="18"/>
      <c r="Y79" s="1"/>
      <c r="Z79" s="1"/>
    </row>
    <row r="80" spans="2:27" s="13" customFormat="1" ht="21" customHeight="1" x14ac:dyDescent="0.35">
      <c r="B80" s="226" t="s">
        <v>41</v>
      </c>
      <c r="C80" s="226"/>
      <c r="D80" s="226"/>
      <c r="E80" s="226"/>
      <c r="F80" s="226"/>
      <c r="G80" s="226"/>
      <c r="H80" s="226"/>
      <c r="I80" s="226"/>
      <c r="J80" s="226"/>
      <c r="K80" s="226"/>
      <c r="L80" s="226"/>
      <c r="M80" s="226"/>
      <c r="N80" s="226"/>
      <c r="O80" s="226"/>
      <c r="P80" s="226"/>
      <c r="Q80" s="226"/>
      <c r="R80" s="226"/>
      <c r="S80" s="226"/>
      <c r="T80" s="226"/>
      <c r="U80" s="226"/>
      <c r="V80" s="226"/>
      <c r="W80" s="226"/>
      <c r="Y80" s="1"/>
      <c r="Z80" s="1"/>
    </row>
    <row r="81" spans="2:60" s="13" customFormat="1" ht="9.6" customHeight="1" x14ac:dyDescent="0.35">
      <c r="C81" s="14"/>
      <c r="D81" s="15"/>
      <c r="E81" s="16"/>
      <c r="F81" s="16"/>
      <c r="G81" s="17"/>
      <c r="H81" s="17"/>
      <c r="I81" s="18"/>
      <c r="J81" s="18"/>
      <c r="K81" s="18"/>
      <c r="L81" s="18"/>
      <c r="M81" s="18"/>
      <c r="N81" s="14"/>
      <c r="O81" s="15"/>
      <c r="P81" s="16"/>
      <c r="Q81" s="16"/>
      <c r="R81" s="17"/>
      <c r="S81" s="19"/>
      <c r="T81" s="18"/>
      <c r="U81" s="18"/>
      <c r="V81" s="18"/>
      <c r="Y81" s="1"/>
      <c r="Z81" s="1"/>
    </row>
    <row r="82" spans="2:60" ht="51.75" customHeight="1" x14ac:dyDescent="0.25">
      <c r="B82" s="161" t="s">
        <v>0</v>
      </c>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row>
    <row r="83" spans="2:60" ht="18" customHeight="1" x14ac:dyDescent="0.25">
      <c r="C83" s="2"/>
      <c r="D83" s="2"/>
      <c r="E83" s="2"/>
      <c r="F83" s="2"/>
      <c r="G83" s="2"/>
      <c r="H83" s="2"/>
      <c r="I83" s="2"/>
      <c r="J83" s="2"/>
      <c r="K83" s="2"/>
      <c r="L83" s="2"/>
      <c r="M83" s="2"/>
      <c r="N83" s="2"/>
      <c r="O83" s="2"/>
      <c r="P83" s="2"/>
      <c r="Q83" s="2"/>
      <c r="R83" s="2"/>
      <c r="S83" s="2"/>
      <c r="T83" s="2"/>
      <c r="U83" s="2"/>
      <c r="V83" s="2"/>
      <c r="W83" s="2"/>
    </row>
    <row r="84" spans="2:60" s="6" customFormat="1" ht="37.5" customHeight="1" x14ac:dyDescent="0.25">
      <c r="B84" s="162" t="s">
        <v>42</v>
      </c>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c r="AA84" s="162"/>
    </row>
    <row r="85" spans="2:60" s="6" customFormat="1" ht="28.35" customHeight="1" x14ac:dyDescent="0.25">
      <c r="B85" s="250" t="s">
        <v>43</v>
      </c>
      <c r="C85" s="250"/>
      <c r="D85" s="250"/>
      <c r="E85" s="250"/>
      <c r="F85" s="250"/>
      <c r="G85" s="250"/>
      <c r="H85" s="250"/>
      <c r="I85" s="251" t="s">
        <v>44</v>
      </c>
      <c r="J85" s="252" t="s">
        <v>45</v>
      </c>
      <c r="K85" s="252" t="s">
        <v>46</v>
      </c>
      <c r="L85" s="252" t="s">
        <v>45</v>
      </c>
      <c r="M85" s="252" t="s">
        <v>47</v>
      </c>
      <c r="N85" s="252"/>
      <c r="O85" s="252"/>
      <c r="P85" s="252"/>
      <c r="Q85" s="252"/>
      <c r="R85" s="252"/>
      <c r="S85" s="252" t="s">
        <v>45</v>
      </c>
      <c r="T85" s="252" t="s">
        <v>48</v>
      </c>
      <c r="U85" s="252" t="s">
        <v>45</v>
      </c>
      <c r="V85" s="252" t="s">
        <v>49</v>
      </c>
      <c r="W85" s="252" t="s">
        <v>45</v>
      </c>
      <c r="X85" s="252" t="s">
        <v>135</v>
      </c>
      <c r="Y85" s="252" t="s">
        <v>30</v>
      </c>
      <c r="Z85" s="252" t="s">
        <v>50</v>
      </c>
      <c r="AA85" s="252" t="s">
        <v>51</v>
      </c>
    </row>
    <row r="86" spans="2:60" ht="11.85" customHeight="1" x14ac:dyDescent="0.25">
      <c r="B86" s="250"/>
      <c r="C86" s="250"/>
      <c r="D86" s="250"/>
      <c r="E86" s="250"/>
      <c r="F86" s="250"/>
      <c r="G86" s="250"/>
      <c r="H86" s="250"/>
      <c r="I86" s="251"/>
      <c r="J86" s="252"/>
      <c r="K86" s="252"/>
      <c r="L86" s="252"/>
      <c r="M86" s="252"/>
      <c r="N86" s="252"/>
      <c r="O86" s="252"/>
      <c r="P86" s="252"/>
      <c r="Q86" s="252"/>
      <c r="R86" s="252"/>
      <c r="S86" s="252"/>
      <c r="T86" s="252"/>
      <c r="U86" s="252"/>
      <c r="V86" s="252"/>
      <c r="W86" s="252"/>
      <c r="X86" s="252"/>
      <c r="Y86" s="252"/>
      <c r="Z86" s="252"/>
      <c r="AA86" s="252"/>
    </row>
    <row r="87" spans="2:60" ht="65.849999999999994" customHeight="1" x14ac:dyDescent="0.25">
      <c r="B87" s="250"/>
      <c r="C87" s="250"/>
      <c r="D87" s="250"/>
      <c r="E87" s="250"/>
      <c r="F87" s="250"/>
      <c r="G87" s="250"/>
      <c r="H87" s="250"/>
      <c r="I87" s="251"/>
      <c r="J87" s="252"/>
      <c r="K87" s="252"/>
      <c r="L87" s="252"/>
      <c r="M87" s="252"/>
      <c r="N87" s="252"/>
      <c r="O87" s="252"/>
      <c r="P87" s="252"/>
      <c r="Q87" s="252"/>
      <c r="R87" s="252"/>
      <c r="S87" s="252"/>
      <c r="T87" s="252"/>
      <c r="U87" s="252"/>
      <c r="V87" s="252"/>
      <c r="W87" s="252"/>
      <c r="X87" s="252"/>
      <c r="Y87" s="252"/>
      <c r="Z87" s="252"/>
      <c r="AA87" s="252"/>
    </row>
    <row r="88" spans="2:60" x14ac:dyDescent="0.25">
      <c r="B88" s="174"/>
      <c r="C88" s="174"/>
      <c r="D88" s="174"/>
      <c r="E88" s="174"/>
      <c r="F88" s="174"/>
      <c r="G88" s="174"/>
      <c r="H88" s="174"/>
      <c r="I88" s="175"/>
      <c r="J88" s="174"/>
      <c r="K88" s="175"/>
      <c r="L88" s="174"/>
      <c r="M88" s="175"/>
      <c r="N88" s="174"/>
      <c r="O88" s="174"/>
      <c r="P88" s="174"/>
      <c r="Q88" s="174"/>
      <c r="R88" s="174"/>
      <c r="S88" s="174"/>
      <c r="T88" s="174"/>
      <c r="U88" s="174"/>
      <c r="V88" s="174"/>
      <c r="W88" s="174"/>
      <c r="X88" s="170"/>
      <c r="Y88" s="167"/>
      <c r="Z88" s="173"/>
      <c r="AA88" s="173"/>
      <c r="AE88" s="1" t="str">
        <f>IF(AA88&lt;&gt;"",AA88,"")</f>
        <v/>
      </c>
      <c r="AF88" s="1" t="str">
        <f>IF(AE88&lt;&gt;"","("&amp;AE88&amp;") "&amp;AD88,"")</f>
        <v/>
      </c>
      <c r="AH88" s="1" t="str">
        <f>IF(AG88&lt;&gt;"","("&amp;AG88&amp;") "&amp;AF88,"")</f>
        <v/>
      </c>
      <c r="AM88" s="1" t="str">
        <f>_xlfn.TEXTJOIN(CHAR(10),TRUE,AF88:AF139)</f>
        <v/>
      </c>
      <c r="BF88" s="1" t="str">
        <f>IF(X88&lt;&gt;"",X88,"")</f>
        <v/>
      </c>
      <c r="BG88" s="1" t="str">
        <f>IF(AA88="Y","("&amp;AA88&amp;")"&amp;" "&amp;BF88,"")</f>
        <v/>
      </c>
      <c r="BH88" s="1" t="str">
        <f>_xlfn.TEXTJOIN(CHAR(10),TRUE,BG88:BG140)</f>
        <v/>
      </c>
    </row>
    <row r="89" spans="2:60" ht="21" customHeight="1" x14ac:dyDescent="0.25">
      <c r="B89" s="174"/>
      <c r="C89" s="174"/>
      <c r="D89" s="174"/>
      <c r="E89" s="174"/>
      <c r="F89" s="174"/>
      <c r="G89" s="174"/>
      <c r="H89" s="174"/>
      <c r="I89" s="174"/>
      <c r="J89" s="174"/>
      <c r="K89" s="174"/>
      <c r="L89" s="174"/>
      <c r="M89" s="174"/>
      <c r="N89" s="174"/>
      <c r="O89" s="174"/>
      <c r="P89" s="174"/>
      <c r="Q89" s="174"/>
      <c r="R89" s="174"/>
      <c r="S89" s="174"/>
      <c r="T89" s="174"/>
      <c r="U89" s="174"/>
      <c r="V89" s="174"/>
      <c r="W89" s="174"/>
      <c r="X89" s="171"/>
      <c r="Y89" s="168"/>
      <c r="Z89" s="253"/>
      <c r="AA89" s="253"/>
    </row>
    <row r="90" spans="2:60" ht="21" customHeight="1" x14ac:dyDescent="0.25">
      <c r="B90" s="174"/>
      <c r="C90" s="174"/>
      <c r="D90" s="174"/>
      <c r="E90" s="174"/>
      <c r="F90" s="174"/>
      <c r="G90" s="174"/>
      <c r="H90" s="174"/>
      <c r="I90" s="174"/>
      <c r="J90" s="174"/>
      <c r="K90" s="174"/>
      <c r="L90" s="174"/>
      <c r="M90" s="174"/>
      <c r="N90" s="174"/>
      <c r="O90" s="174"/>
      <c r="P90" s="174"/>
      <c r="Q90" s="174"/>
      <c r="R90" s="174"/>
      <c r="S90" s="174"/>
      <c r="T90" s="174"/>
      <c r="U90" s="174"/>
      <c r="V90" s="174"/>
      <c r="W90" s="174"/>
      <c r="X90" s="171"/>
      <c r="Y90" s="168"/>
      <c r="Z90" s="253"/>
      <c r="AA90" s="253"/>
    </row>
    <row r="91" spans="2:60" ht="21" customHeight="1" x14ac:dyDescent="0.25">
      <c r="B91" s="174"/>
      <c r="C91" s="174"/>
      <c r="D91" s="174"/>
      <c r="E91" s="174"/>
      <c r="F91" s="174"/>
      <c r="G91" s="174"/>
      <c r="H91" s="174"/>
      <c r="I91" s="174"/>
      <c r="J91" s="174"/>
      <c r="K91" s="174"/>
      <c r="L91" s="174"/>
      <c r="M91" s="174"/>
      <c r="N91" s="174"/>
      <c r="O91" s="174"/>
      <c r="P91" s="174"/>
      <c r="Q91" s="174"/>
      <c r="R91" s="174"/>
      <c r="S91" s="174"/>
      <c r="T91" s="174"/>
      <c r="U91" s="174"/>
      <c r="V91" s="174"/>
      <c r="W91" s="174"/>
      <c r="X91" s="171"/>
      <c r="Y91" s="168"/>
      <c r="Z91" s="253"/>
      <c r="AA91" s="253"/>
    </row>
    <row r="92" spans="2:60" ht="21" customHeight="1" x14ac:dyDescent="0.25">
      <c r="B92" s="174"/>
      <c r="C92" s="174"/>
      <c r="D92" s="174"/>
      <c r="E92" s="174"/>
      <c r="F92" s="174"/>
      <c r="G92" s="174"/>
      <c r="H92" s="174"/>
      <c r="I92" s="174"/>
      <c r="J92" s="174"/>
      <c r="K92" s="174"/>
      <c r="L92" s="174"/>
      <c r="M92" s="174"/>
      <c r="N92" s="174"/>
      <c r="O92" s="174"/>
      <c r="P92" s="174"/>
      <c r="Q92" s="174"/>
      <c r="R92" s="174"/>
      <c r="S92" s="174"/>
      <c r="T92" s="174"/>
      <c r="U92" s="174"/>
      <c r="V92" s="174"/>
      <c r="W92" s="174"/>
      <c r="X92" s="171"/>
      <c r="Y92" s="168"/>
      <c r="Z92" s="253"/>
      <c r="AA92" s="253"/>
    </row>
    <row r="93" spans="2:60" ht="21" customHeight="1" x14ac:dyDescent="0.25">
      <c r="B93" s="174"/>
      <c r="C93" s="174"/>
      <c r="D93" s="174"/>
      <c r="E93" s="174"/>
      <c r="F93" s="174"/>
      <c r="G93" s="174"/>
      <c r="H93" s="174"/>
      <c r="I93" s="174"/>
      <c r="J93" s="174"/>
      <c r="K93" s="174"/>
      <c r="L93" s="174"/>
      <c r="M93" s="174"/>
      <c r="N93" s="174"/>
      <c r="O93" s="174"/>
      <c r="P93" s="174"/>
      <c r="Q93" s="174"/>
      <c r="R93" s="174"/>
      <c r="S93" s="174"/>
      <c r="T93" s="174"/>
      <c r="U93" s="174"/>
      <c r="V93" s="174"/>
      <c r="W93" s="174"/>
      <c r="X93" s="171"/>
      <c r="Y93" s="168"/>
      <c r="Z93" s="253"/>
      <c r="AA93" s="253"/>
    </row>
    <row r="94" spans="2:60" ht="21" customHeight="1" x14ac:dyDescent="0.25">
      <c r="B94" s="174"/>
      <c r="C94" s="174"/>
      <c r="D94" s="174"/>
      <c r="E94" s="174"/>
      <c r="F94" s="174"/>
      <c r="G94" s="174"/>
      <c r="H94" s="174"/>
      <c r="I94" s="174"/>
      <c r="J94" s="174"/>
      <c r="K94" s="174"/>
      <c r="L94" s="174"/>
      <c r="M94" s="174"/>
      <c r="N94" s="174"/>
      <c r="O94" s="174"/>
      <c r="P94" s="174"/>
      <c r="Q94" s="174"/>
      <c r="R94" s="174"/>
      <c r="S94" s="174"/>
      <c r="T94" s="174"/>
      <c r="U94" s="174"/>
      <c r="V94" s="174"/>
      <c r="W94" s="174"/>
      <c r="X94" s="171"/>
      <c r="Y94" s="168"/>
      <c r="Z94" s="253"/>
      <c r="AA94" s="253"/>
    </row>
    <row r="95" spans="2:60" ht="21" customHeight="1" x14ac:dyDescent="0.25">
      <c r="B95" s="174"/>
      <c r="C95" s="174"/>
      <c r="D95" s="174"/>
      <c r="E95" s="174"/>
      <c r="F95" s="174"/>
      <c r="G95" s="174"/>
      <c r="H95" s="174"/>
      <c r="I95" s="174"/>
      <c r="J95" s="174"/>
      <c r="K95" s="174"/>
      <c r="L95" s="174"/>
      <c r="M95" s="174"/>
      <c r="N95" s="174"/>
      <c r="O95" s="174"/>
      <c r="P95" s="174"/>
      <c r="Q95" s="174"/>
      <c r="R95" s="174"/>
      <c r="S95" s="174"/>
      <c r="T95" s="174"/>
      <c r="U95" s="174"/>
      <c r="V95" s="174"/>
      <c r="W95" s="174"/>
      <c r="X95" s="172"/>
      <c r="Y95" s="169"/>
      <c r="Z95" s="254"/>
      <c r="AA95" s="254"/>
    </row>
    <row r="96" spans="2:60" x14ac:dyDescent="0.25">
      <c r="B96" s="274"/>
      <c r="C96" s="274"/>
      <c r="D96" s="274"/>
      <c r="E96" s="274"/>
      <c r="F96" s="274"/>
      <c r="G96" s="274"/>
      <c r="H96" s="274"/>
      <c r="I96" s="81"/>
      <c r="J96" s="81"/>
      <c r="K96" s="81"/>
      <c r="L96" s="81"/>
      <c r="M96" s="81"/>
      <c r="N96" s="81"/>
      <c r="O96" s="81"/>
      <c r="P96" s="81"/>
      <c r="Q96" s="81"/>
      <c r="R96" s="81"/>
      <c r="S96" s="81"/>
      <c r="T96" s="81"/>
      <c r="U96" s="81"/>
      <c r="V96" s="81"/>
      <c r="W96" s="81"/>
      <c r="X96" s="81"/>
      <c r="Y96" s="50"/>
      <c r="Z96" s="50"/>
      <c r="AA96" s="50"/>
    </row>
    <row r="97" spans="2:59" ht="14.85" customHeight="1" x14ac:dyDescent="0.25">
      <c r="B97" s="174"/>
      <c r="C97" s="174"/>
      <c r="D97" s="174"/>
      <c r="E97" s="174"/>
      <c r="F97" s="174"/>
      <c r="G97" s="174"/>
      <c r="H97" s="174"/>
      <c r="I97" s="175"/>
      <c r="J97" s="174"/>
      <c r="K97" s="175"/>
      <c r="L97" s="174" t="s">
        <v>141</v>
      </c>
      <c r="M97" s="174"/>
      <c r="N97" s="174"/>
      <c r="O97" s="174"/>
      <c r="P97" s="174"/>
      <c r="Q97" s="174"/>
      <c r="R97" s="174"/>
      <c r="S97" s="174" t="s">
        <v>141</v>
      </c>
      <c r="T97" s="174"/>
      <c r="U97" s="174"/>
      <c r="V97" s="174"/>
      <c r="W97" s="174"/>
      <c r="X97" s="170"/>
      <c r="Y97" s="167"/>
      <c r="Z97" s="173"/>
      <c r="AA97" s="173"/>
      <c r="AD97" s="1" t="str">
        <f>IF(X97&lt;&gt;"",X97,"")</f>
        <v/>
      </c>
      <c r="AE97" s="1" t="str">
        <f>IF(AA97&lt;&gt;"",AA97,"")</f>
        <v/>
      </c>
      <c r="AF97" s="1" t="str">
        <f>IF(AE97&lt;&gt;"","("&amp;AE97&amp;") "&amp;AD97,"")</f>
        <v/>
      </c>
      <c r="BF97" s="1" t="str">
        <f>IF(X97&lt;&gt;"",X97,"")</f>
        <v/>
      </c>
      <c r="BG97" s="1" t="str">
        <f>IF(AA97="Y","("&amp;AA97&amp;")"&amp;" "&amp;BF97,"")</f>
        <v/>
      </c>
    </row>
    <row r="98" spans="2:59" x14ac:dyDescent="0.25">
      <c r="B98" s="174"/>
      <c r="C98" s="174"/>
      <c r="D98" s="174"/>
      <c r="E98" s="174"/>
      <c r="F98" s="174"/>
      <c r="G98" s="174"/>
      <c r="H98" s="174"/>
      <c r="I98" s="174"/>
      <c r="J98" s="174"/>
      <c r="K98" s="174"/>
      <c r="L98" s="174"/>
      <c r="M98" s="174"/>
      <c r="N98" s="174"/>
      <c r="O98" s="174"/>
      <c r="P98" s="174"/>
      <c r="Q98" s="174"/>
      <c r="R98" s="174"/>
      <c r="S98" s="174"/>
      <c r="T98" s="174"/>
      <c r="U98" s="174"/>
      <c r="V98" s="174"/>
      <c r="W98" s="174"/>
      <c r="X98" s="171"/>
      <c r="Y98" s="168"/>
      <c r="Z98" s="168"/>
      <c r="AA98" s="168"/>
    </row>
    <row r="99" spans="2:59" x14ac:dyDescent="0.25">
      <c r="B99" s="174"/>
      <c r="C99" s="174"/>
      <c r="D99" s="174"/>
      <c r="E99" s="174"/>
      <c r="F99" s="174"/>
      <c r="G99" s="174"/>
      <c r="H99" s="174"/>
      <c r="I99" s="174"/>
      <c r="J99" s="174"/>
      <c r="K99" s="174"/>
      <c r="L99" s="174"/>
      <c r="M99" s="174"/>
      <c r="N99" s="174"/>
      <c r="O99" s="174"/>
      <c r="P99" s="174"/>
      <c r="Q99" s="174"/>
      <c r="R99" s="174"/>
      <c r="S99" s="174"/>
      <c r="T99" s="174"/>
      <c r="U99" s="174"/>
      <c r="V99" s="174"/>
      <c r="W99" s="174"/>
      <c r="X99" s="171"/>
      <c r="Y99" s="168"/>
      <c r="Z99" s="168"/>
      <c r="AA99" s="168"/>
    </row>
    <row r="100" spans="2:59" x14ac:dyDescent="0.25">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1"/>
      <c r="Y100" s="168"/>
      <c r="Z100" s="168"/>
      <c r="AA100" s="168"/>
    </row>
    <row r="101" spans="2:59" x14ac:dyDescent="0.25">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1"/>
      <c r="Y101" s="168"/>
      <c r="Z101" s="168"/>
      <c r="AA101" s="168"/>
    </row>
    <row r="102" spans="2:59" x14ac:dyDescent="0.25">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1"/>
      <c r="Y102" s="168"/>
      <c r="Z102" s="168"/>
      <c r="AA102" s="168"/>
    </row>
    <row r="103" spans="2:59" x14ac:dyDescent="0.25">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1"/>
      <c r="Y103" s="168"/>
      <c r="Z103" s="168"/>
      <c r="AA103" s="168"/>
    </row>
    <row r="104" spans="2:59" x14ac:dyDescent="0.25">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2"/>
      <c r="Y104" s="169"/>
      <c r="Z104" s="169"/>
      <c r="AA104" s="169"/>
    </row>
    <row r="105" spans="2:59" x14ac:dyDescent="0.25">
      <c r="B105" s="81"/>
      <c r="C105" s="81"/>
      <c r="D105" s="81"/>
      <c r="E105" s="81"/>
      <c r="F105" s="81"/>
      <c r="G105" s="81"/>
      <c r="H105" s="81"/>
      <c r="I105" s="81"/>
      <c r="J105" s="81"/>
      <c r="K105" s="81"/>
      <c r="L105" s="81"/>
      <c r="M105" s="81"/>
      <c r="N105" s="81"/>
      <c r="O105" s="81"/>
      <c r="P105" s="81"/>
      <c r="Q105" s="81"/>
      <c r="R105" s="81"/>
      <c r="S105" s="81"/>
      <c r="T105" s="81"/>
      <c r="U105" s="81"/>
      <c r="V105" s="81"/>
      <c r="W105" s="81"/>
      <c r="X105" s="145"/>
      <c r="Y105" s="50"/>
      <c r="Z105" s="50"/>
      <c r="AA105" s="50"/>
    </row>
    <row r="106" spans="2:59" x14ac:dyDescent="0.25">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6"/>
      <c r="X106" s="170"/>
      <c r="Y106" s="167"/>
      <c r="Z106" s="173"/>
      <c r="AA106" s="173"/>
      <c r="AD106" s="1" t="str">
        <f>IF(X106&lt;&gt;"",X106,"")</f>
        <v/>
      </c>
      <c r="AE106" s="1" t="str">
        <f>IF(AA106&lt;&gt;"",AA106,"")</f>
        <v/>
      </c>
      <c r="AF106" s="1" t="str">
        <f>IF(AE106&lt;&gt;"","("&amp;AE106&amp;") "&amp;AD106,"")</f>
        <v/>
      </c>
      <c r="BF106" s="1" t="str">
        <f>IF(X106&lt;&gt;"",X106,"")</f>
        <v/>
      </c>
      <c r="BG106" s="1" t="str">
        <f>IF(AA106="Y","("&amp;AA106&amp;")"&amp;" "&amp;BF106,"")</f>
        <v/>
      </c>
    </row>
    <row r="107" spans="2:59" x14ac:dyDescent="0.25">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7"/>
      <c r="X107" s="171"/>
      <c r="Y107" s="168"/>
      <c r="Z107" s="168"/>
      <c r="AA107" s="168"/>
    </row>
    <row r="108" spans="2:59" x14ac:dyDescent="0.25">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7"/>
      <c r="X108" s="171"/>
      <c r="Y108" s="168"/>
      <c r="Z108" s="168"/>
      <c r="AA108" s="168"/>
    </row>
    <row r="109" spans="2:59" x14ac:dyDescent="0.25">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7"/>
      <c r="X109" s="171"/>
      <c r="Y109" s="168"/>
      <c r="Z109" s="168"/>
      <c r="AA109" s="168"/>
    </row>
    <row r="110" spans="2:59" x14ac:dyDescent="0.25">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7"/>
      <c r="X110" s="171"/>
      <c r="Y110" s="168"/>
      <c r="Z110" s="168"/>
      <c r="AA110" s="168"/>
    </row>
    <row r="111" spans="2:59" x14ac:dyDescent="0.25">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7"/>
      <c r="X111" s="171"/>
      <c r="Y111" s="168"/>
      <c r="Z111" s="168"/>
      <c r="AA111" s="168"/>
    </row>
    <row r="112" spans="2:59" x14ac:dyDescent="0.25">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7"/>
      <c r="X112" s="171"/>
      <c r="Y112" s="168"/>
      <c r="Z112" s="168"/>
      <c r="AA112" s="168"/>
    </row>
    <row r="113" spans="2:59" x14ac:dyDescent="0.25">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8"/>
      <c r="X113" s="172"/>
      <c r="Y113" s="169"/>
      <c r="Z113" s="169"/>
      <c r="AA113" s="169"/>
    </row>
    <row r="114" spans="2:59" x14ac:dyDescent="0.25">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50"/>
      <c r="Z114" s="50"/>
      <c r="AA114" s="50"/>
    </row>
    <row r="115" spans="2:59" ht="15" customHeight="1" x14ac:dyDescent="0.25">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6"/>
      <c r="X115" s="170"/>
      <c r="Y115" s="167"/>
      <c r="Z115" s="173"/>
      <c r="AA115" s="173"/>
      <c r="AD115" s="1" t="str">
        <f>IF(X115&lt;&gt;"",X115,"")</f>
        <v/>
      </c>
      <c r="AE115" s="1" t="str">
        <f>IF(AA115&lt;&gt;"",AA115,"")</f>
        <v/>
      </c>
      <c r="AF115" s="1" t="str">
        <f>IF(AE115&lt;&gt;"","("&amp;AE115&amp;") "&amp;AD115,"")</f>
        <v/>
      </c>
      <c r="BF115" s="1" t="str">
        <f>IF(X115&lt;&gt;"",X115,"")</f>
        <v/>
      </c>
      <c r="BG115" s="1" t="str">
        <f>IF(AA115="Y","("&amp;AA115&amp;")"&amp;" "&amp;BF115,"")</f>
        <v/>
      </c>
    </row>
    <row r="116" spans="2:59" ht="15" customHeight="1" x14ac:dyDescent="0.25">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7"/>
      <c r="X116" s="171"/>
      <c r="Y116" s="168"/>
      <c r="Z116" s="168"/>
      <c r="AA116" s="168"/>
    </row>
    <row r="117" spans="2:59" ht="15" customHeight="1" x14ac:dyDescent="0.25">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7"/>
      <c r="X117" s="171"/>
      <c r="Y117" s="168"/>
      <c r="Z117" s="168"/>
      <c r="AA117" s="168"/>
    </row>
    <row r="118" spans="2:59" ht="15" customHeight="1" x14ac:dyDescent="0.25">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7"/>
      <c r="X118" s="171"/>
      <c r="Y118" s="168"/>
      <c r="Z118" s="168"/>
      <c r="AA118" s="168"/>
    </row>
    <row r="119" spans="2:59" ht="15" customHeight="1" x14ac:dyDescent="0.25">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7"/>
      <c r="X119" s="171"/>
      <c r="Y119" s="168"/>
      <c r="Z119" s="168"/>
      <c r="AA119" s="168"/>
    </row>
    <row r="120" spans="2:59" ht="15" customHeight="1" x14ac:dyDescent="0.25">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7"/>
      <c r="X120" s="171"/>
      <c r="Y120" s="168"/>
      <c r="Z120" s="168"/>
      <c r="AA120" s="168"/>
    </row>
    <row r="121" spans="2:59" ht="15" customHeight="1" x14ac:dyDescent="0.25">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7"/>
      <c r="X121" s="171"/>
      <c r="Y121" s="168"/>
      <c r="Z121" s="168"/>
      <c r="AA121" s="168"/>
    </row>
    <row r="122" spans="2:59" ht="15" customHeight="1" x14ac:dyDescent="0.25">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8"/>
      <c r="X122" s="172"/>
      <c r="Y122" s="169"/>
      <c r="Z122" s="169"/>
      <c r="AA122" s="169"/>
    </row>
    <row r="123" spans="2:59" x14ac:dyDescent="0.25">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spans="2:59" ht="15" customHeight="1" x14ac:dyDescent="0.25">
      <c r="B124" s="166"/>
      <c r="C124" s="166"/>
      <c r="D124" s="166"/>
      <c r="E124" s="166"/>
      <c r="F124" s="166"/>
      <c r="G124" s="166"/>
      <c r="H124" s="166"/>
      <c r="I124" s="166"/>
      <c r="J124" s="174"/>
      <c r="K124" s="166"/>
      <c r="L124" s="174"/>
      <c r="M124" s="166"/>
      <c r="N124" s="166"/>
      <c r="O124" s="166"/>
      <c r="P124" s="166"/>
      <c r="Q124" s="166"/>
      <c r="R124" s="166"/>
      <c r="S124" s="166"/>
      <c r="T124" s="166"/>
      <c r="U124" s="166"/>
      <c r="V124" s="166"/>
      <c r="W124" s="167"/>
      <c r="X124" s="170"/>
      <c r="Y124" s="167"/>
      <c r="Z124" s="173"/>
      <c r="AA124" s="173"/>
      <c r="AD124" s="1" t="str">
        <f>IF(X124&lt;&gt;"",X124,"")</f>
        <v/>
      </c>
      <c r="AE124" s="1" t="str">
        <f>IF(AA124&lt;&gt;"",AA124,"")</f>
        <v/>
      </c>
      <c r="AF124" s="1" t="str">
        <f>IF(AE124&lt;&gt;"","("&amp;AE124&amp;") "&amp;AD124,"")</f>
        <v/>
      </c>
      <c r="BF124" s="1" t="str">
        <f>IF(X124&lt;&gt;"",X124,"")</f>
        <v/>
      </c>
      <c r="BG124" s="1" t="str">
        <f>IF(AA124="Y","("&amp;AA124&amp;")"&amp;" "&amp;BF124,"")</f>
        <v/>
      </c>
    </row>
    <row r="125" spans="2:59" ht="15" customHeight="1" x14ac:dyDescent="0.25">
      <c r="B125" s="166"/>
      <c r="C125" s="166"/>
      <c r="D125" s="166"/>
      <c r="E125" s="166"/>
      <c r="F125" s="166"/>
      <c r="G125" s="166"/>
      <c r="H125" s="166"/>
      <c r="I125" s="166"/>
      <c r="J125" s="174"/>
      <c r="K125" s="166"/>
      <c r="L125" s="174"/>
      <c r="M125" s="166"/>
      <c r="N125" s="166"/>
      <c r="O125" s="166"/>
      <c r="P125" s="166"/>
      <c r="Q125" s="166"/>
      <c r="R125" s="166"/>
      <c r="S125" s="166"/>
      <c r="T125" s="166"/>
      <c r="U125" s="166"/>
      <c r="V125" s="166"/>
      <c r="W125" s="168"/>
      <c r="X125" s="171"/>
      <c r="Y125" s="168"/>
      <c r="Z125" s="168"/>
      <c r="AA125" s="168"/>
    </row>
    <row r="126" spans="2:59" ht="15" customHeight="1" x14ac:dyDescent="0.25">
      <c r="B126" s="166"/>
      <c r="C126" s="166"/>
      <c r="D126" s="166"/>
      <c r="E126" s="166"/>
      <c r="F126" s="166"/>
      <c r="G126" s="166"/>
      <c r="H126" s="166"/>
      <c r="I126" s="166"/>
      <c r="J126" s="174"/>
      <c r="K126" s="166"/>
      <c r="L126" s="174"/>
      <c r="M126" s="166"/>
      <c r="N126" s="166"/>
      <c r="O126" s="166"/>
      <c r="P126" s="166"/>
      <c r="Q126" s="166"/>
      <c r="R126" s="166"/>
      <c r="S126" s="166"/>
      <c r="T126" s="166"/>
      <c r="U126" s="166"/>
      <c r="V126" s="166"/>
      <c r="W126" s="168"/>
      <c r="X126" s="171"/>
      <c r="Y126" s="168"/>
      <c r="Z126" s="168"/>
      <c r="AA126" s="168"/>
    </row>
    <row r="127" spans="2:59" ht="15" customHeight="1" x14ac:dyDescent="0.25">
      <c r="B127" s="166"/>
      <c r="C127" s="166"/>
      <c r="D127" s="166"/>
      <c r="E127" s="166"/>
      <c r="F127" s="166"/>
      <c r="G127" s="166"/>
      <c r="H127" s="166"/>
      <c r="I127" s="166"/>
      <c r="J127" s="174"/>
      <c r="K127" s="166"/>
      <c r="L127" s="174"/>
      <c r="M127" s="166"/>
      <c r="N127" s="166"/>
      <c r="O127" s="166"/>
      <c r="P127" s="166"/>
      <c r="Q127" s="166"/>
      <c r="R127" s="166"/>
      <c r="S127" s="166"/>
      <c r="T127" s="166"/>
      <c r="U127" s="166"/>
      <c r="V127" s="166"/>
      <c r="W127" s="168"/>
      <c r="X127" s="171"/>
      <c r="Y127" s="168"/>
      <c r="Z127" s="168"/>
      <c r="AA127" s="168"/>
    </row>
    <row r="128" spans="2:59" ht="15" customHeight="1" x14ac:dyDescent="0.25">
      <c r="B128" s="166"/>
      <c r="C128" s="166"/>
      <c r="D128" s="166"/>
      <c r="E128" s="166"/>
      <c r="F128" s="166"/>
      <c r="G128" s="166"/>
      <c r="H128" s="166"/>
      <c r="I128" s="166"/>
      <c r="J128" s="174"/>
      <c r="K128" s="166"/>
      <c r="L128" s="174"/>
      <c r="M128" s="166"/>
      <c r="N128" s="166"/>
      <c r="O128" s="166"/>
      <c r="P128" s="166"/>
      <c r="Q128" s="166"/>
      <c r="R128" s="166"/>
      <c r="S128" s="166"/>
      <c r="T128" s="166"/>
      <c r="U128" s="166"/>
      <c r="V128" s="166"/>
      <c r="W128" s="168"/>
      <c r="X128" s="171"/>
      <c r="Y128" s="168"/>
      <c r="Z128" s="168"/>
      <c r="AA128" s="168"/>
    </row>
    <row r="129" spans="2:59" ht="15" customHeight="1" x14ac:dyDescent="0.25">
      <c r="B129" s="166"/>
      <c r="C129" s="166"/>
      <c r="D129" s="166"/>
      <c r="E129" s="166"/>
      <c r="F129" s="166"/>
      <c r="G129" s="166"/>
      <c r="H129" s="166"/>
      <c r="I129" s="166"/>
      <c r="J129" s="174"/>
      <c r="K129" s="166"/>
      <c r="L129" s="174"/>
      <c r="M129" s="166"/>
      <c r="N129" s="166"/>
      <c r="O129" s="166"/>
      <c r="P129" s="166"/>
      <c r="Q129" s="166"/>
      <c r="R129" s="166"/>
      <c r="S129" s="166"/>
      <c r="T129" s="166"/>
      <c r="U129" s="166"/>
      <c r="V129" s="166"/>
      <c r="W129" s="168"/>
      <c r="X129" s="171"/>
      <c r="Y129" s="168"/>
      <c r="Z129" s="168"/>
      <c r="AA129" s="168"/>
    </row>
    <row r="130" spans="2:59" ht="15" customHeight="1" x14ac:dyDescent="0.25">
      <c r="B130" s="166"/>
      <c r="C130" s="166"/>
      <c r="D130" s="166"/>
      <c r="E130" s="166"/>
      <c r="F130" s="166"/>
      <c r="G130" s="166"/>
      <c r="H130" s="166"/>
      <c r="I130" s="166"/>
      <c r="J130" s="174"/>
      <c r="K130" s="166"/>
      <c r="L130" s="174"/>
      <c r="M130" s="166"/>
      <c r="N130" s="166"/>
      <c r="O130" s="166"/>
      <c r="P130" s="166"/>
      <c r="Q130" s="166"/>
      <c r="R130" s="166"/>
      <c r="S130" s="166"/>
      <c r="T130" s="166"/>
      <c r="U130" s="166"/>
      <c r="V130" s="166"/>
      <c r="W130" s="168"/>
      <c r="X130" s="171"/>
      <c r="Y130" s="168"/>
      <c r="Z130" s="168"/>
      <c r="AA130" s="168"/>
    </row>
    <row r="131" spans="2:59" ht="15" customHeight="1" x14ac:dyDescent="0.25">
      <c r="B131" s="166"/>
      <c r="C131" s="166"/>
      <c r="D131" s="166"/>
      <c r="E131" s="166"/>
      <c r="F131" s="166"/>
      <c r="G131" s="166"/>
      <c r="H131" s="166"/>
      <c r="I131" s="166"/>
      <c r="J131" s="174"/>
      <c r="K131" s="166"/>
      <c r="L131" s="174"/>
      <c r="M131" s="166"/>
      <c r="N131" s="166"/>
      <c r="O131" s="166"/>
      <c r="P131" s="166"/>
      <c r="Q131" s="166"/>
      <c r="R131" s="166"/>
      <c r="S131" s="166"/>
      <c r="T131" s="166"/>
      <c r="U131" s="166"/>
      <c r="V131" s="166"/>
      <c r="W131" s="169"/>
      <c r="X131" s="172"/>
      <c r="Y131" s="169"/>
      <c r="Z131" s="169"/>
      <c r="AA131" s="169"/>
    </row>
    <row r="132" spans="2:59" ht="11.85" customHeight="1" x14ac:dyDescent="0.25">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spans="2:59" ht="15" customHeight="1" x14ac:dyDescent="0.25">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7"/>
      <c r="X133" s="170"/>
      <c r="Y133" s="167"/>
      <c r="Z133" s="249"/>
      <c r="AA133" s="167"/>
      <c r="AD133" s="1" t="str">
        <f>IF(X133&lt;&gt;"",X133,"")</f>
        <v/>
      </c>
      <c r="AE133" s="1" t="str">
        <f>IF(AA133&lt;&gt;"",AA133,"")</f>
        <v/>
      </c>
      <c r="AF133" s="1" t="str">
        <f>IF(AE133&lt;&gt;"","("&amp;AE133&amp;") "&amp;AD133,"")</f>
        <v/>
      </c>
      <c r="BF133" s="1" t="str">
        <f>IF(X133&lt;&gt;"",X133,"")</f>
        <v/>
      </c>
      <c r="BG133" s="1" t="str">
        <f>IF(AA133="Y","("&amp;AA133&amp;")"&amp;" "&amp;BF133,"")</f>
        <v/>
      </c>
    </row>
    <row r="134" spans="2:59" ht="15" customHeight="1" x14ac:dyDescent="0.25">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8"/>
      <c r="X134" s="171"/>
      <c r="Y134" s="168"/>
      <c r="Z134" s="168"/>
      <c r="AA134" s="168"/>
    </row>
    <row r="135" spans="2:59" ht="15" customHeight="1" x14ac:dyDescent="0.25">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8"/>
      <c r="X135" s="171"/>
      <c r="Y135" s="168"/>
      <c r="Z135" s="168"/>
      <c r="AA135" s="168"/>
    </row>
    <row r="136" spans="2:59" ht="15" customHeight="1" x14ac:dyDescent="0.25">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8"/>
      <c r="X136" s="171"/>
      <c r="Y136" s="168"/>
      <c r="Z136" s="168"/>
      <c r="AA136" s="168"/>
    </row>
    <row r="137" spans="2:59" ht="15" customHeight="1" x14ac:dyDescent="0.25">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8"/>
      <c r="X137" s="171"/>
      <c r="Y137" s="168"/>
      <c r="Z137" s="168"/>
      <c r="AA137" s="168"/>
    </row>
    <row r="138" spans="2:59" ht="15" customHeight="1" x14ac:dyDescent="0.25">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8"/>
      <c r="X138" s="171"/>
      <c r="Y138" s="168"/>
      <c r="Z138" s="168"/>
      <c r="AA138" s="168"/>
    </row>
    <row r="139" spans="2:59" ht="15" customHeight="1" x14ac:dyDescent="0.25">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8"/>
      <c r="X139" s="171"/>
      <c r="Y139" s="168"/>
      <c r="Z139" s="168"/>
      <c r="AA139" s="168"/>
    </row>
    <row r="140" spans="2:59" ht="15" customHeight="1" x14ac:dyDescent="0.25">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9"/>
      <c r="X140" s="172"/>
      <c r="Y140" s="169"/>
      <c r="Z140" s="169"/>
      <c r="AA140" s="169"/>
    </row>
    <row r="141" spans="2:59" ht="11.85" customHeight="1" x14ac:dyDescent="0.25"/>
    <row r="142" spans="2:59" s="6" customFormat="1" ht="28.35" customHeight="1" x14ac:dyDescent="0.25">
      <c r="B142" s="163" t="s">
        <v>52</v>
      </c>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c r="AA142" s="163"/>
    </row>
    <row r="143" spans="2:59" ht="11.85" customHeight="1" x14ac:dyDescent="0.25"/>
    <row r="144" spans="2:59" s="21" customFormat="1" ht="25.5" customHeight="1" x14ac:dyDescent="0.25">
      <c r="B144" s="164" t="s">
        <v>142</v>
      </c>
      <c r="C144" s="164"/>
      <c r="D144" s="164"/>
      <c r="E144" s="164"/>
      <c r="F144" s="164"/>
      <c r="G144" s="164"/>
      <c r="H144" s="164"/>
      <c r="I144" s="164"/>
      <c r="J144" s="164"/>
      <c r="K144" s="164"/>
      <c r="L144" s="164"/>
      <c r="M144" s="164"/>
      <c r="N144" s="164"/>
      <c r="O144" s="164"/>
      <c r="P144" s="164"/>
      <c r="Q144" s="164"/>
      <c r="R144" s="164"/>
      <c r="S144" s="164"/>
      <c r="T144" s="164"/>
      <c r="U144" s="164" t="s">
        <v>143</v>
      </c>
      <c r="V144" s="164"/>
      <c r="W144" s="164"/>
      <c r="X144" s="164"/>
      <c r="Y144" s="164"/>
      <c r="Z144" s="164"/>
      <c r="AA144" s="164"/>
    </row>
    <row r="145" spans="2:27" s="21" customFormat="1" ht="9" customHeight="1" x14ac:dyDescent="0.25">
      <c r="B145" s="29"/>
      <c r="C145" s="29"/>
      <c r="D145" s="29"/>
      <c r="E145" s="29"/>
      <c r="F145" s="29"/>
      <c r="G145" s="29"/>
      <c r="H145" s="29"/>
      <c r="I145" s="29"/>
      <c r="J145" s="29"/>
      <c r="K145" s="29"/>
      <c r="L145" s="29"/>
      <c r="M145" s="29"/>
      <c r="N145" s="29"/>
      <c r="O145" s="29"/>
      <c r="P145" s="29"/>
      <c r="Q145" s="29"/>
      <c r="R145" s="29"/>
      <c r="S145" s="29"/>
      <c r="T145" s="29"/>
      <c r="U145" s="29"/>
      <c r="V145" s="29"/>
      <c r="W145" s="29"/>
      <c r="Y145" s="1"/>
      <c r="Z145" s="1"/>
    </row>
    <row r="146" spans="2:27" s="4" customFormat="1" ht="33" customHeight="1" thickBot="1" x14ac:dyDescent="0.35">
      <c r="B146" s="165" t="s">
        <v>53</v>
      </c>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row>
    <row r="147" spans="2:27" s="4" customFormat="1" ht="32.1" customHeight="1" x14ac:dyDescent="0.3">
      <c r="B147" s="148" t="s">
        <v>54</v>
      </c>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88" t="s">
        <v>55</v>
      </c>
      <c r="Y147" s="151" t="s">
        <v>56</v>
      </c>
      <c r="Z147" s="152"/>
      <c r="AA147" s="153"/>
    </row>
    <row r="148" spans="2:27" s="4" customFormat="1" ht="60" customHeight="1" x14ac:dyDescent="0.3">
      <c r="B148" s="154" t="s">
        <v>144</v>
      </c>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90">
        <v>1.9E-2</v>
      </c>
      <c r="Y148" s="156" t="str">
        <f>'Cost Impact Calculator'!B28</f>
        <v/>
      </c>
      <c r="Z148" s="157"/>
      <c r="AA148" s="158"/>
    </row>
    <row r="149" spans="2:27" s="4" customFormat="1" ht="32.1" customHeight="1" x14ac:dyDescent="0.3">
      <c r="B149" s="148" t="s">
        <v>57</v>
      </c>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89" t="s">
        <v>58</v>
      </c>
      <c r="Y149" s="262" t="s">
        <v>56</v>
      </c>
      <c r="Z149" s="263"/>
      <c r="AA149" s="264"/>
    </row>
    <row r="150" spans="2:27" s="4" customFormat="1" ht="60" customHeight="1" thickBot="1" x14ac:dyDescent="0.35">
      <c r="B150" s="241" t="s">
        <v>145</v>
      </c>
      <c r="C150" s="265"/>
      <c r="D150" s="265"/>
      <c r="E150" s="265"/>
      <c r="F150" s="265"/>
      <c r="G150" s="265"/>
      <c r="H150" s="265"/>
      <c r="I150" s="265"/>
      <c r="J150" s="265"/>
      <c r="K150" s="265"/>
      <c r="L150" s="265"/>
      <c r="M150" s="265"/>
      <c r="N150" s="265"/>
      <c r="O150" s="265"/>
      <c r="P150" s="265"/>
      <c r="Q150" s="265"/>
      <c r="R150" s="265"/>
      <c r="S150" s="265"/>
      <c r="T150" s="265"/>
      <c r="U150" s="265"/>
      <c r="V150" s="265"/>
      <c r="W150" s="265"/>
      <c r="X150" s="91"/>
      <c r="Y150" s="266" t="str">
        <f>'Cost Impact Calculator'!B29</f>
        <v/>
      </c>
      <c r="Z150" s="267"/>
      <c r="AA150" s="268"/>
    </row>
    <row r="151" spans="2:27" s="4" customFormat="1" ht="32.1" customHeight="1" x14ac:dyDescent="0.3">
      <c r="B151" s="148" t="s">
        <v>59</v>
      </c>
      <c r="C151" s="149"/>
      <c r="D151" s="149"/>
      <c r="E151" s="149"/>
      <c r="F151" s="149"/>
      <c r="G151" s="149"/>
      <c r="H151" s="149"/>
      <c r="I151" s="149"/>
      <c r="J151" s="149"/>
      <c r="K151" s="149"/>
      <c r="L151" s="149"/>
      <c r="M151" s="149"/>
      <c r="N151" s="149"/>
      <c r="O151" s="149"/>
      <c r="P151" s="149"/>
      <c r="Q151" s="149"/>
      <c r="R151" s="149"/>
      <c r="S151" s="149"/>
      <c r="T151" s="149"/>
      <c r="U151" s="149"/>
      <c r="V151" s="149"/>
      <c r="W151" s="150"/>
      <c r="X151" s="269" t="s">
        <v>60</v>
      </c>
      <c r="Y151" s="152"/>
      <c r="Z151" s="152"/>
      <c r="AA151" s="270"/>
    </row>
    <row r="152" spans="2:27" s="4" customFormat="1" ht="60" customHeight="1" thickBot="1" x14ac:dyDescent="0.35">
      <c r="B152" s="154"/>
      <c r="C152" s="265"/>
      <c r="D152" s="265"/>
      <c r="E152" s="265"/>
      <c r="F152" s="265"/>
      <c r="G152" s="265"/>
      <c r="H152" s="265"/>
      <c r="I152" s="265"/>
      <c r="J152" s="265"/>
      <c r="K152" s="265"/>
      <c r="L152" s="265"/>
      <c r="M152" s="265"/>
      <c r="N152" s="265"/>
      <c r="O152" s="265"/>
      <c r="P152" s="265"/>
      <c r="Q152" s="265"/>
      <c r="R152" s="265"/>
      <c r="S152" s="265"/>
      <c r="T152" s="265"/>
      <c r="U152" s="265"/>
      <c r="V152" s="265"/>
      <c r="W152" s="265"/>
      <c r="X152" s="271"/>
      <c r="Y152" s="272"/>
      <c r="Z152" s="272"/>
      <c r="AA152" s="273"/>
    </row>
    <row r="153" spans="2:27" ht="17.850000000000001" customHeight="1" x14ac:dyDescent="0.25">
      <c r="B153" s="31"/>
      <c r="C153" s="31"/>
      <c r="D153" s="31"/>
      <c r="E153" s="31"/>
      <c r="F153" s="31"/>
      <c r="G153" s="31"/>
      <c r="H153" s="31"/>
      <c r="I153" s="31"/>
      <c r="J153" s="31"/>
      <c r="K153" s="31"/>
      <c r="L153" s="31"/>
      <c r="M153" s="31"/>
      <c r="N153" s="31"/>
      <c r="O153" s="31"/>
      <c r="P153" s="31"/>
      <c r="Q153" s="31"/>
      <c r="R153" s="31"/>
      <c r="S153" s="31"/>
      <c r="T153" s="31"/>
      <c r="U153" s="31"/>
      <c r="V153" s="31"/>
      <c r="W153" s="31"/>
    </row>
    <row r="158" spans="2:27" ht="18.75" customHeight="1" x14ac:dyDescent="0.25"/>
    <row r="162" ht="3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89" ht="18.75" customHeight="1" x14ac:dyDescent="0.25"/>
    <row r="190" ht="18.75" customHeight="1" x14ac:dyDescent="0.25"/>
  </sheetData>
  <protectedRanges>
    <protectedRange sqref="B1:AB142" name="Range1"/>
    <protectedRange sqref="B148:X148 B150:X150 B152:AA152 B144:AA144" name="Range2"/>
  </protectedRanges>
  <mergeCells count="209">
    <mergeCell ref="I70:K70"/>
    <mergeCell ref="I72:K72"/>
    <mergeCell ref="I74:K74"/>
    <mergeCell ref="I76:K76"/>
    <mergeCell ref="B149:W149"/>
    <mergeCell ref="Y149:AA149"/>
    <mergeCell ref="B150:W150"/>
    <mergeCell ref="Y150:AA150"/>
    <mergeCell ref="B152:W152"/>
    <mergeCell ref="X151:AA151"/>
    <mergeCell ref="X152:AA152"/>
    <mergeCell ref="V85:V87"/>
    <mergeCell ref="W85:W87"/>
    <mergeCell ref="X85:X87"/>
    <mergeCell ref="Y85:Y87"/>
    <mergeCell ref="Z85:Z87"/>
    <mergeCell ref="AA85:AA87"/>
    <mergeCell ref="AA88:AA95"/>
    <mergeCell ref="B96:H96"/>
    <mergeCell ref="B97:H104"/>
    <mergeCell ref="I97:I104"/>
    <mergeCell ref="J97:J104"/>
    <mergeCell ref="K97:K104"/>
    <mergeCell ref="L97:L104"/>
    <mergeCell ref="B51:P54"/>
    <mergeCell ref="R51:AA54"/>
    <mergeCell ref="B56:AA56"/>
    <mergeCell ref="B57:AA60"/>
    <mergeCell ref="M62:AA62"/>
    <mergeCell ref="B62:K62"/>
    <mergeCell ref="B64:K64"/>
    <mergeCell ref="I66:K66"/>
    <mergeCell ref="I68:K68"/>
    <mergeCell ref="Y97:Y104"/>
    <mergeCell ref="Z97:Z104"/>
    <mergeCell ref="AA97:AA104"/>
    <mergeCell ref="B88:H95"/>
    <mergeCell ref="I88:I95"/>
    <mergeCell ref="J88:J95"/>
    <mergeCell ref="K88:K95"/>
    <mergeCell ref="L88:L95"/>
    <mergeCell ref="B80:W80"/>
    <mergeCell ref="B85:H87"/>
    <mergeCell ref="I85:I87"/>
    <mergeCell ref="J85:J87"/>
    <mergeCell ref="K85:K87"/>
    <mergeCell ref="L85:L87"/>
    <mergeCell ref="M85:R87"/>
    <mergeCell ref="S85:S87"/>
    <mergeCell ref="T85:T87"/>
    <mergeCell ref="U85:U87"/>
    <mergeCell ref="M97:R104"/>
    <mergeCell ref="S97:S104"/>
    <mergeCell ref="T97:T104"/>
    <mergeCell ref="U97:U104"/>
    <mergeCell ref="Y88:Y95"/>
    <mergeCell ref="Z88:Z95"/>
    <mergeCell ref="V115:V122"/>
    <mergeCell ref="W115:W122"/>
    <mergeCell ref="X115:X122"/>
    <mergeCell ref="Y115:Y122"/>
    <mergeCell ref="Z115:Z122"/>
    <mergeCell ref="AA115:AA122"/>
    <mergeCell ref="B106:H113"/>
    <mergeCell ref="I106:I113"/>
    <mergeCell ref="J106:J113"/>
    <mergeCell ref="K106:K113"/>
    <mergeCell ref="L106:L113"/>
    <mergeCell ref="M106:R113"/>
    <mergeCell ref="S106:S113"/>
    <mergeCell ref="T106:T113"/>
    <mergeCell ref="B115:H122"/>
    <mergeCell ref="I115:I122"/>
    <mergeCell ref="J115:J122"/>
    <mergeCell ref="K115:K122"/>
    <mergeCell ref="L115:L122"/>
    <mergeCell ref="M115:R122"/>
    <mergeCell ref="S115:S122"/>
    <mergeCell ref="T115:T122"/>
    <mergeCell ref="U115:U122"/>
    <mergeCell ref="U106:U113"/>
    <mergeCell ref="B44:F44"/>
    <mergeCell ref="AA133:AA140"/>
    <mergeCell ref="B124:H131"/>
    <mergeCell ref="I124:I131"/>
    <mergeCell ref="J124:J131"/>
    <mergeCell ref="K124:K131"/>
    <mergeCell ref="L124:L131"/>
    <mergeCell ref="M124:R131"/>
    <mergeCell ref="S124:S131"/>
    <mergeCell ref="T124:T131"/>
    <mergeCell ref="U124:U131"/>
    <mergeCell ref="L133:L140"/>
    <mergeCell ref="M133:R140"/>
    <mergeCell ref="S133:S140"/>
    <mergeCell ref="T133:T140"/>
    <mergeCell ref="U133:U140"/>
    <mergeCell ref="V133:V140"/>
    <mergeCell ref="W133:W140"/>
    <mergeCell ref="X133:X140"/>
    <mergeCell ref="Y133:Y140"/>
    <mergeCell ref="J133:J140"/>
    <mergeCell ref="K133:K140"/>
    <mergeCell ref="Z133:Z140"/>
    <mergeCell ref="AA106:AA113"/>
    <mergeCell ref="B2:AA2"/>
    <mergeCell ref="B4:AA4"/>
    <mergeCell ref="B23:AA23"/>
    <mergeCell ref="B17:AA17"/>
    <mergeCell ref="V6:AA7"/>
    <mergeCell ref="O10:AA12"/>
    <mergeCell ref="C15:W15"/>
    <mergeCell ref="O6:O7"/>
    <mergeCell ref="P6:U7"/>
    <mergeCell ref="O8:O9"/>
    <mergeCell ref="P8:AA9"/>
    <mergeCell ref="Q14:T14"/>
    <mergeCell ref="O14:P14"/>
    <mergeCell ref="B19:O21"/>
    <mergeCell ref="P19:AA21"/>
    <mergeCell ref="B18:O18"/>
    <mergeCell ref="P18:AA18"/>
    <mergeCell ref="V14:W14"/>
    <mergeCell ref="X14:AA14"/>
    <mergeCell ref="B31:P36"/>
    <mergeCell ref="R31:AA36"/>
    <mergeCell ref="G38:P38"/>
    <mergeCell ref="R38:T38"/>
    <mergeCell ref="R25:T25"/>
    <mergeCell ref="U25:AA25"/>
    <mergeCell ref="U38:AA38"/>
    <mergeCell ref="B50:F50"/>
    <mergeCell ref="G44:P44"/>
    <mergeCell ref="G50:P50"/>
    <mergeCell ref="B39:P42"/>
    <mergeCell ref="B45:P48"/>
    <mergeCell ref="G25:P25"/>
    <mergeCell ref="B26:P29"/>
    <mergeCell ref="R26:AA29"/>
    <mergeCell ref="B30:AA30"/>
    <mergeCell ref="B25:F25"/>
    <mergeCell ref="R39:AA42"/>
    <mergeCell ref="R44:T44"/>
    <mergeCell ref="R50:T50"/>
    <mergeCell ref="U44:AA44"/>
    <mergeCell ref="U50:AA50"/>
    <mergeCell ref="R45:AA48"/>
    <mergeCell ref="B38:F38"/>
    <mergeCell ref="I78:K78"/>
    <mergeCell ref="M64:S64"/>
    <mergeCell ref="M72:S72"/>
    <mergeCell ref="M71:S71"/>
    <mergeCell ref="Y64:Z64"/>
    <mergeCell ref="T64:X64"/>
    <mergeCell ref="M66:S66"/>
    <mergeCell ref="T66:X66"/>
    <mergeCell ref="Y66:Z66"/>
    <mergeCell ref="M68:S68"/>
    <mergeCell ref="T68:X68"/>
    <mergeCell ref="Y68:Z68"/>
    <mergeCell ref="M70:S70"/>
    <mergeCell ref="T70:X70"/>
    <mergeCell ref="Y70:Z70"/>
    <mergeCell ref="M67:S67"/>
    <mergeCell ref="T72:X72"/>
    <mergeCell ref="Y72:Z72"/>
    <mergeCell ref="M74:S74"/>
    <mergeCell ref="T74:X74"/>
    <mergeCell ref="Y74:Z74"/>
    <mergeCell ref="M76:S76"/>
    <mergeCell ref="T76:X76"/>
    <mergeCell ref="Y76:Z76"/>
    <mergeCell ref="V88:V95"/>
    <mergeCell ref="W88:W95"/>
    <mergeCell ref="X88:X95"/>
    <mergeCell ref="M88:R95"/>
    <mergeCell ref="S88:S95"/>
    <mergeCell ref="T88:T95"/>
    <mergeCell ref="U88:U95"/>
    <mergeCell ref="V106:V113"/>
    <mergeCell ref="W106:W113"/>
    <mergeCell ref="X106:X113"/>
    <mergeCell ref="V97:V104"/>
    <mergeCell ref="W97:W104"/>
    <mergeCell ref="X97:X104"/>
    <mergeCell ref="B151:W151"/>
    <mergeCell ref="B147:W147"/>
    <mergeCell ref="Y147:AA147"/>
    <mergeCell ref="B148:W148"/>
    <mergeCell ref="Y148:AA148"/>
    <mergeCell ref="T78:X78"/>
    <mergeCell ref="Y78:Z78"/>
    <mergeCell ref="B82:AA82"/>
    <mergeCell ref="B84:AA84"/>
    <mergeCell ref="B142:AA142"/>
    <mergeCell ref="B144:T144"/>
    <mergeCell ref="U144:AA144"/>
    <mergeCell ref="B146:AA146"/>
    <mergeCell ref="V124:V131"/>
    <mergeCell ref="W124:W131"/>
    <mergeCell ref="X124:X131"/>
    <mergeCell ref="Y124:Y131"/>
    <mergeCell ref="Z124:Z131"/>
    <mergeCell ref="AA124:AA131"/>
    <mergeCell ref="B133:H140"/>
    <mergeCell ref="I133:I140"/>
    <mergeCell ref="M78:S78"/>
    <mergeCell ref="Y106:Y113"/>
    <mergeCell ref="Z106:Z113"/>
  </mergeCells>
  <dataValidations count="6">
    <dataValidation type="list" allowBlank="1" showInputMessage="1" showErrorMessage="1" sqref="Q14:T14">
      <formula1>"PM100,GD121,M8,FX1,F5,F350,GDX6,GDFFP,H1000,401,411,413,489,C800,C600,W1000,741,BV,753,751,SBNE,Crimper,TOB,PLA,HAT,MPF,Combiner,Capricorn,Depalletizer,460,Others"</formula1>
    </dataValidation>
    <dataValidation type="list" allowBlank="1" showInputMessage="1" showErrorMessage="1" sqref="C6">
      <formula1>"Q"</formula1>
    </dataValidation>
    <dataValidation type="list" allowBlank="1" showInputMessage="1" showErrorMessage="1" sqref="C8">
      <formula1>"D"</formula1>
    </dataValidation>
    <dataValidation type="list" allowBlank="1" showInputMessage="1" showErrorMessage="1" sqref="C10">
      <formula1>"C"</formula1>
    </dataValidation>
    <dataValidation type="list" allowBlank="1" showInputMessage="1" showErrorMessage="1" sqref="P6:U7">
      <formula1>"LU10-ID02,LU11-ID02,LU12-ID02,LU14-ID02,LU15-ID02,LU17-ID02,LU25-ID02,LU27-ID02,LU11-ID01,LU12-ID01,LU13-ID01,LU14-ID01,LU16-ID01,LU17-ID01,LU18-ID01,LU21-ID01,LU22-ID01,LU23-ID01,LU24-ID01,LU26-ID01,LU29-ID01,LU27-ID01,LU11-ID30,LU22-ID30,LU23-ID30"</formula1>
    </dataValidation>
    <dataValidation type="list" allowBlank="1" showInputMessage="1" showErrorMessage="1" sqref="C12">
      <formula1>"O"</formula1>
    </dataValidation>
  </dataValidations>
  <printOptions horizontalCentered="1"/>
  <pageMargins left="0.25" right="0.25" top="0.25" bottom="0.25" header="0.05" footer="0.05"/>
  <pageSetup paperSize="9" scale="33" fitToHeight="0" orientation="portrait" r:id="rId1"/>
  <rowBreaks count="1" manualBreakCount="1">
    <brk id="80" max="27" man="1"/>
  </rowBreaks>
  <drawing r:id="rId2"/>
  <legacy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view="pageBreakPreview" topLeftCell="A2" zoomScale="80" zoomScaleNormal="74" zoomScaleSheetLayoutView="80" workbookViewId="0">
      <selection activeCell="A3" sqref="A3:J7"/>
    </sheetView>
  </sheetViews>
  <sheetFormatPr defaultRowHeight="15" x14ac:dyDescent="0.25"/>
  <cols>
    <col min="1" max="1" width="4.5703125" customWidth="1"/>
    <col min="2" max="2" width="12.42578125" customWidth="1"/>
    <col min="3" max="3" width="8.5703125" bestFit="1" customWidth="1"/>
    <col min="4" max="4" width="8" customWidth="1"/>
    <col min="5" max="5" width="55.5703125" style="75" customWidth="1"/>
    <col min="6" max="6" width="10.42578125" customWidth="1"/>
    <col min="7" max="7" width="11.5703125" customWidth="1"/>
    <col min="8" max="8" width="14.42578125" customWidth="1"/>
    <col min="9" max="9" width="28.7109375" customWidth="1"/>
    <col min="10" max="10" width="14.42578125" customWidth="1"/>
    <col min="12" max="17" width="0" hidden="1" customWidth="1"/>
  </cols>
  <sheetData>
    <row r="1" spans="1:17" ht="21" x14ac:dyDescent="0.35">
      <c r="A1" s="275" t="s">
        <v>61</v>
      </c>
      <c r="B1" s="275"/>
      <c r="C1" s="275"/>
      <c r="D1" s="275"/>
      <c r="E1" s="275"/>
      <c r="F1" s="275"/>
      <c r="G1" s="275"/>
      <c r="H1" s="275"/>
      <c r="I1" s="275"/>
      <c r="J1" s="275"/>
    </row>
    <row r="2" spans="1:17" s="75" customFormat="1" ht="43.5" customHeight="1" x14ac:dyDescent="0.25">
      <c r="A2" s="120" t="s">
        <v>62</v>
      </c>
      <c r="B2" s="120" t="s">
        <v>63</v>
      </c>
      <c r="C2" s="120" t="s">
        <v>64</v>
      </c>
      <c r="D2" s="120" t="s">
        <v>65</v>
      </c>
      <c r="E2" s="120" t="s">
        <v>66</v>
      </c>
      <c r="F2" s="120" t="s">
        <v>67</v>
      </c>
      <c r="G2" s="120" t="s">
        <v>68</v>
      </c>
      <c r="H2" s="122" t="s">
        <v>69</v>
      </c>
      <c r="I2" s="121" t="s">
        <v>70</v>
      </c>
      <c r="J2" s="122" t="s">
        <v>71</v>
      </c>
      <c r="L2" s="83" t="str" cm="1">
        <f t="array" ref="L2">IFERROR(INDEX(D$5:D$49,SMALL(IF(E$5:E$49&lt;&gt;"",ROW(D$5:D$49)-ROW(D$5)+1),ROWS(D$5:D5))),"")</f>
        <v/>
      </c>
      <c r="M2" s="83" t="str" cm="1">
        <f t="array" ref="M2">IFERROR(INDEX(E$5:E$49,SMALL(IF(D$5:D$49&lt;&gt;"",ROW(E$5:E$49)-ROW(E$5)+1),ROWS(E$5:E5))),"")</f>
        <v/>
      </c>
      <c r="N2" s="84" t="str">
        <f>IF(L2&lt;&gt;"","("&amp;L2&amp;")","")</f>
        <v/>
      </c>
      <c r="O2" s="85" t="str">
        <f>N2&amp;" "&amp;M2</f>
        <v xml:space="preserve"> </v>
      </c>
      <c r="Q2" s="75" t="e">
        <f ca="1">_xlfn.TEXTJOIN(CHAR(10),TRUE,O2:O7)</f>
        <v>#NAME?</v>
      </c>
    </row>
    <row r="3" spans="1:17" s="76" customFormat="1" ht="36.6" customHeight="1" x14ac:dyDescent="0.25">
      <c r="A3" s="78"/>
      <c r="B3" s="125"/>
      <c r="C3" s="126"/>
      <c r="D3" s="131"/>
      <c r="E3" s="144"/>
      <c r="F3" s="130"/>
      <c r="G3" s="130"/>
      <c r="H3" s="126"/>
      <c r="I3" s="144"/>
      <c r="J3" s="126"/>
      <c r="K3"/>
      <c r="L3" s="83" t="str" cm="1">
        <f t="array" ref="L3">IFERROR(INDEX(D$5:D$49,SMALL(IF(E$5:E$49&lt;&gt;"",ROW(D$5:D$49)-ROW(D$5)+1),ROWS(D$5:D6))),"")</f>
        <v/>
      </c>
      <c r="M3" s="83" t="str" cm="1">
        <f t="array" ref="M3">IFERROR(INDEX(E$5:E$49,SMALL(IF(D$5:D$49&lt;&gt;"",ROW(E$5:E$49)-ROW(E$5)+1),ROWS(E$5:E6))),"")</f>
        <v/>
      </c>
      <c r="N3" s="84" t="str">
        <f t="shared" ref="N3:N49" si="0">IF(L3&lt;&gt;"","("&amp;L3&amp;")","")</f>
        <v/>
      </c>
      <c r="O3" s="85" t="str">
        <f t="shared" ref="O3:O49" si="1">N3&amp;" "&amp;M3</f>
        <v xml:space="preserve"> </v>
      </c>
    </row>
    <row r="4" spans="1:17" ht="36.6" customHeight="1" x14ac:dyDescent="0.25">
      <c r="A4" s="78"/>
      <c r="B4" s="125"/>
      <c r="C4" s="126"/>
      <c r="D4" s="131"/>
      <c r="E4" s="144"/>
      <c r="F4" s="130"/>
      <c r="G4" s="130"/>
      <c r="H4" s="126"/>
      <c r="I4" s="144"/>
      <c r="J4" s="126"/>
      <c r="L4" s="83" t="str" cm="1">
        <f t="array" ref="L4">IFERROR(INDEX(D$5:D$49,SMALL(IF(E$5:E$49&lt;&gt;"",ROW(D$5:D$49)-ROW(D$5)+1),ROWS(D$5:D6))),"")</f>
        <v/>
      </c>
      <c r="M4" s="83" t="str" cm="1">
        <f t="array" ref="M4">IFERROR(INDEX(E$5:E$49,SMALL(IF(D$5:D$49&lt;&gt;"",ROW(E$5:E$49)-ROW(E$5)+1),ROWS(E$5:E6))),"")</f>
        <v/>
      </c>
      <c r="N4" s="84" t="str">
        <f t="shared" si="0"/>
        <v/>
      </c>
      <c r="O4" s="85" t="str">
        <f t="shared" si="1"/>
        <v xml:space="preserve"> </v>
      </c>
    </row>
    <row r="5" spans="1:17" ht="36.6" customHeight="1" x14ac:dyDescent="0.25">
      <c r="A5" s="78"/>
      <c r="B5" s="125"/>
      <c r="C5" s="126"/>
      <c r="D5" s="131"/>
      <c r="E5" s="144"/>
      <c r="F5" s="130"/>
      <c r="G5" s="130"/>
      <c r="H5" s="126"/>
      <c r="I5" s="144"/>
      <c r="J5" s="126"/>
      <c r="L5" s="83" t="str" cm="1">
        <f t="array" ref="L5">IFERROR(INDEX(D$5:D$49,SMALL(IF(E$5:E$49&lt;&gt;"",ROW(D$5:D$49)-ROW(D$5)+1),ROWS(D$5:D6))),"")</f>
        <v/>
      </c>
      <c r="M5" s="83" t="str" cm="1">
        <f t="array" ref="M5">IFERROR(INDEX(E$5:E$49,SMALL(IF(D$5:D$49&lt;&gt;"",ROW(E$5:E$49)-ROW(E$5)+1),ROWS(E$5:E6))),"")</f>
        <v/>
      </c>
      <c r="N5" s="84" t="str">
        <f t="shared" si="0"/>
        <v/>
      </c>
      <c r="O5" s="85" t="str">
        <f t="shared" si="1"/>
        <v xml:space="preserve"> </v>
      </c>
    </row>
    <row r="6" spans="1:17" ht="36.6" customHeight="1" x14ac:dyDescent="0.25">
      <c r="A6" s="78"/>
      <c r="B6" s="125"/>
      <c r="C6" s="126"/>
      <c r="D6" s="131"/>
      <c r="E6" s="144"/>
      <c r="F6" s="130"/>
      <c r="G6" s="130"/>
      <c r="H6" s="126"/>
      <c r="I6" s="144"/>
      <c r="J6" s="126"/>
      <c r="L6" s="83" t="str" cm="1">
        <f t="array" ref="L6">IFERROR(INDEX(D$5:D$49,SMALL(IF(E$5:E$49&lt;&gt;"",ROW(D$5:D$49)-ROW(D$5)+1),ROWS(D$5:D7))),"")</f>
        <v/>
      </c>
      <c r="M6" s="83" t="str" cm="1">
        <f t="array" ref="M6">IFERROR(INDEX(E$5:E$49,SMALL(IF(D$5:D$49&lt;&gt;"",ROW(E$5:E$49)-ROW(E$5)+1),ROWS(E$5:E7))),"")</f>
        <v/>
      </c>
      <c r="N6" s="84" t="str">
        <f t="shared" si="0"/>
        <v/>
      </c>
      <c r="O6" s="85" t="str">
        <f t="shared" si="1"/>
        <v xml:space="preserve"> </v>
      </c>
    </row>
    <row r="7" spans="1:17" ht="36.6" customHeight="1" x14ac:dyDescent="0.25">
      <c r="A7" s="78"/>
      <c r="B7" s="125"/>
      <c r="C7" s="126"/>
      <c r="D7" s="131"/>
      <c r="E7" s="144"/>
      <c r="F7" s="130"/>
      <c r="G7" s="130"/>
      <c r="H7" s="126"/>
      <c r="I7" s="144"/>
      <c r="J7" s="126"/>
      <c r="L7" s="83" t="str" cm="1">
        <f t="array" ref="L7">IFERROR(INDEX(D$5:D$49,SMALL(IF(E$5:E$49&lt;&gt;"",ROW(D$5:D$49)-ROW(D$5)+1),ROWS(D$5:D8))),"")</f>
        <v/>
      </c>
      <c r="M7" s="83"/>
      <c r="N7" s="84"/>
      <c r="O7" s="85"/>
    </row>
    <row r="8" spans="1:17" ht="36.6" customHeight="1" x14ac:dyDescent="0.25">
      <c r="A8" s="78">
        <v>6</v>
      </c>
      <c r="B8" s="125"/>
      <c r="C8" s="126"/>
      <c r="D8" s="131"/>
      <c r="E8" s="144"/>
      <c r="F8" s="130"/>
      <c r="G8" s="127"/>
      <c r="H8" s="126"/>
      <c r="I8" s="144"/>
      <c r="J8" s="126"/>
      <c r="L8" s="83" t="str" cm="1">
        <f t="array" ref="L8">IFERROR(INDEX(D$5:D$49,SMALL(IF(E$5:E$49&lt;&gt;"",ROW(D$5:D$49)-ROW(D$5)+1),ROWS(D$5:D9))),"")</f>
        <v/>
      </c>
      <c r="M8" s="83"/>
      <c r="N8" s="84"/>
      <c r="O8" s="85"/>
    </row>
    <row r="9" spans="1:17" ht="36.6" customHeight="1" x14ac:dyDescent="0.25">
      <c r="A9" s="78">
        <v>7</v>
      </c>
      <c r="B9" s="125"/>
      <c r="C9" s="126"/>
      <c r="D9" s="131"/>
      <c r="E9" s="144"/>
      <c r="F9" s="130"/>
      <c r="G9" s="130"/>
      <c r="H9" s="126"/>
      <c r="I9" s="144"/>
      <c r="J9" s="126"/>
      <c r="L9" s="83" t="str" cm="1">
        <f t="array" ref="L9">IFERROR(INDEX(D$5:D$49,SMALL(IF(E$5:E$49&lt;&gt;"",ROW(D$5:D$49)-ROW(D$5)+1),ROWS(D$5:D10))),"")</f>
        <v/>
      </c>
      <c r="M9" s="83"/>
      <c r="N9" s="84"/>
      <c r="O9" s="85"/>
    </row>
    <row r="10" spans="1:17" ht="36.6" customHeight="1" x14ac:dyDescent="0.25">
      <c r="A10" s="78">
        <v>8</v>
      </c>
      <c r="B10" s="125"/>
      <c r="C10" s="78"/>
      <c r="D10" s="146"/>
      <c r="E10" s="144"/>
      <c r="F10" s="130"/>
      <c r="G10" s="130"/>
      <c r="H10" s="126"/>
      <c r="I10" s="130"/>
      <c r="J10" s="126"/>
      <c r="L10" s="83" t="str" cm="1">
        <f t="array" ref="L10">IFERROR(INDEX(D$5:D$49,SMALL(IF(E$5:E$49&lt;&gt;"",ROW(D$5:D$49)-ROW(D$5)+1),ROWS(D$5:D11))),"")</f>
        <v/>
      </c>
      <c r="M10" s="83"/>
      <c r="N10" s="84"/>
      <c r="O10" s="85"/>
    </row>
    <row r="11" spans="1:17" ht="36.6" customHeight="1" x14ac:dyDescent="0.25">
      <c r="A11" s="78">
        <v>9</v>
      </c>
      <c r="B11" s="125"/>
      <c r="C11" s="78"/>
      <c r="D11" s="146"/>
      <c r="E11" s="144"/>
      <c r="F11" s="130"/>
      <c r="G11" s="130"/>
      <c r="H11" s="130"/>
      <c r="I11" s="130"/>
      <c r="J11" s="126"/>
      <c r="L11" s="83" t="str" cm="1">
        <f t="array" ref="L11">IFERROR(INDEX(D$5:D$49,SMALL(IF(E$5:E$49&lt;&gt;"",ROW(D$5:D$49)-ROW(D$5)+1),ROWS(D$5:D12))),"")</f>
        <v/>
      </c>
      <c r="N11" s="84"/>
      <c r="O11" s="85"/>
    </row>
    <row r="12" spans="1:17" ht="36.6" customHeight="1" x14ac:dyDescent="0.25">
      <c r="A12" s="128"/>
      <c r="B12" s="79"/>
      <c r="C12" s="78"/>
      <c r="D12" s="128"/>
      <c r="F12" s="130"/>
      <c r="G12" s="130"/>
      <c r="H12" s="130"/>
      <c r="I12" s="130"/>
      <c r="J12" s="131"/>
      <c r="L12" s="83" t="str" cm="1">
        <f t="array" ref="L12">IFERROR(INDEX(D$5:D$49,SMALL(IF(E$5:E$49&lt;&gt;"",ROW(D$5:D$49)-ROW(D$5)+1),ROWS(D$5:D13))),"")</f>
        <v/>
      </c>
      <c r="M12" s="83"/>
      <c r="N12" s="84"/>
      <c r="O12" s="85"/>
    </row>
    <row r="13" spans="1:17" ht="36.6" customHeight="1" x14ac:dyDescent="0.25">
      <c r="A13" s="128"/>
      <c r="B13" s="132"/>
      <c r="C13" s="131"/>
      <c r="D13" s="128"/>
      <c r="E13" s="133"/>
      <c r="F13" s="130"/>
      <c r="G13" s="130"/>
      <c r="H13" s="130"/>
      <c r="I13" s="130"/>
      <c r="J13" s="131"/>
      <c r="L13" s="83" t="str" cm="1">
        <f t="array" ref="L13">IFERROR(INDEX(D$5:D$49,SMALL(IF(E$5:E$49&lt;&gt;"",ROW(D$5:D$49)-ROW(D$5)+1),ROWS(D$5:D14))),"")</f>
        <v/>
      </c>
      <c r="N13" s="84"/>
      <c r="O13" s="85"/>
    </row>
    <row r="14" spans="1:17" ht="36.6" customHeight="1" x14ac:dyDescent="0.25">
      <c r="A14" s="128"/>
      <c r="B14" s="132"/>
      <c r="C14" s="131"/>
      <c r="D14" s="128"/>
      <c r="E14" s="134"/>
      <c r="F14" s="130"/>
      <c r="G14" s="129"/>
      <c r="H14" s="130"/>
      <c r="I14" s="130"/>
      <c r="J14" s="131"/>
      <c r="L14" s="83" t="str" cm="1">
        <f t="array" ref="L14">IFERROR(INDEX(D$5:D$49,SMALL(IF(E$5:E$49&lt;&gt;"",ROW(D$5:D$49)-ROW(D$5)+1),ROWS(D$5:D15))),"")</f>
        <v/>
      </c>
      <c r="M14" s="83" t="str" cm="1">
        <f t="array" ref="M14">IFERROR(INDEX(E$5:E$49,SMALL(IF(D$5:D$49&lt;&gt;"",ROW(E$5:E$49)-ROW(E$5)+1),ROWS(E$5:E15))),"")</f>
        <v/>
      </c>
      <c r="N14" s="84" t="str">
        <f t="shared" si="0"/>
        <v/>
      </c>
      <c r="O14" s="85" t="str">
        <f t="shared" si="1"/>
        <v xml:space="preserve"> </v>
      </c>
    </row>
    <row r="15" spans="1:17" ht="36.6" customHeight="1" x14ac:dyDescent="0.25">
      <c r="A15" s="128"/>
      <c r="B15" s="132"/>
      <c r="C15" s="131"/>
      <c r="D15" s="128"/>
      <c r="E15" s="134"/>
      <c r="F15" s="135"/>
      <c r="G15" s="129"/>
      <c r="H15" s="130"/>
      <c r="I15" s="130"/>
      <c r="J15" s="131"/>
      <c r="L15" s="83" t="str" cm="1">
        <f t="array" ref="L15">IFERROR(INDEX(D$5:D$49,SMALL(IF(E$5:E$49&lt;&gt;"",ROW(D$5:D$49)-ROW(D$5)+1),ROWS(D$5:D16))),"")</f>
        <v/>
      </c>
      <c r="M15" s="83" t="str" cm="1">
        <f t="array" ref="M15">IFERROR(INDEX(E$5:E$49,SMALL(IF(D$5:D$49&lt;&gt;"",ROW(E$5:E$49)-ROW(E$5)+1),ROWS(E$5:E16))),"")</f>
        <v/>
      </c>
      <c r="N15" s="84" t="str">
        <f t="shared" si="0"/>
        <v/>
      </c>
      <c r="O15" s="85" t="str">
        <f t="shared" si="1"/>
        <v xml:space="preserve"> </v>
      </c>
    </row>
    <row r="16" spans="1:17" ht="36.6" customHeight="1" x14ac:dyDescent="0.25">
      <c r="A16" s="128"/>
      <c r="B16" s="132"/>
      <c r="C16" s="131"/>
      <c r="D16" s="128"/>
      <c r="E16" s="129"/>
      <c r="F16" s="135"/>
      <c r="G16" s="129"/>
      <c r="H16" s="130"/>
      <c r="I16" s="130"/>
      <c r="J16" s="135"/>
      <c r="L16" s="83" t="str" cm="1">
        <f t="array" ref="L16">IFERROR(INDEX(D$5:D$49,SMALL(IF(E$5:E$49&lt;&gt;"",ROW(D$5:D$49)-ROW(D$5)+1),ROWS(D$5:D17))),"")</f>
        <v/>
      </c>
      <c r="M16" s="83" t="str" cm="1">
        <f t="array" ref="M16">IFERROR(INDEX(E$5:E$49,SMALL(IF(D$5:D$49&lt;&gt;"",ROW(E$5:E$49)-ROW(E$5)+1),ROWS(E$5:E17))),"")</f>
        <v/>
      </c>
      <c r="N16" s="84" t="str">
        <f t="shared" si="0"/>
        <v/>
      </c>
      <c r="O16" s="85" t="str">
        <f t="shared" si="1"/>
        <v xml:space="preserve"> </v>
      </c>
    </row>
    <row r="17" spans="1:15" ht="36.6" customHeight="1" x14ac:dyDescent="0.25">
      <c r="A17" s="77"/>
      <c r="B17" s="113"/>
      <c r="C17" s="112"/>
      <c r="D17" s="77"/>
      <c r="E17" s="114"/>
      <c r="F17" s="115"/>
      <c r="G17" s="114"/>
      <c r="H17" s="111"/>
      <c r="I17" s="111"/>
      <c r="J17" s="77"/>
      <c r="L17" s="83" t="str" cm="1">
        <f t="array" ref="L17">IFERROR(INDEX(D$5:D$49,SMALL(IF(E$5:E$49&lt;&gt;"",ROW(D$5:D$49)-ROW(D$5)+1),ROWS(D$5:D18))),"")</f>
        <v/>
      </c>
      <c r="M17" s="83" t="str" cm="1">
        <f t="array" ref="M17">IFERROR(INDEX(E$5:E$49,SMALL(IF(D$5:D$49&lt;&gt;"",ROW(E$5:E$49)-ROW(E$5)+1),ROWS(E$5:E18))),"")</f>
        <v/>
      </c>
      <c r="N17" s="84" t="str">
        <f t="shared" si="0"/>
        <v/>
      </c>
      <c r="O17" s="85" t="str">
        <f t="shared" si="1"/>
        <v xml:space="preserve"> </v>
      </c>
    </row>
    <row r="18" spans="1:15" ht="36.6" customHeight="1" x14ac:dyDescent="0.25">
      <c r="A18" s="77"/>
      <c r="B18" s="113"/>
      <c r="C18" s="112"/>
      <c r="D18" s="77"/>
      <c r="E18" s="114"/>
      <c r="F18" s="115"/>
      <c r="G18" s="114"/>
      <c r="H18" s="111"/>
      <c r="I18" s="111"/>
      <c r="J18" s="115"/>
      <c r="L18" s="83" t="str" cm="1">
        <f t="array" ref="L18">IFERROR(INDEX(D$5:D$49,SMALL(IF(E$5:E$49&lt;&gt;"",ROW(D$5:D$49)-ROW(D$5)+1),ROWS(D$5:D19))),"")</f>
        <v/>
      </c>
      <c r="M18" s="83" t="str" cm="1">
        <f t="array" ref="M18">IFERROR(INDEX(E$5:E$49,SMALL(IF(D$5:D$49&lt;&gt;"",ROW(E$5:E$49)-ROW(E$5)+1),ROWS(E$5:E19))),"")</f>
        <v/>
      </c>
      <c r="N18" s="84" t="str">
        <f t="shared" si="0"/>
        <v/>
      </c>
      <c r="O18" s="85" t="str">
        <f t="shared" si="1"/>
        <v xml:space="preserve"> </v>
      </c>
    </row>
    <row r="19" spans="1:15" ht="36.6" customHeight="1" x14ac:dyDescent="0.25">
      <c r="A19" s="77"/>
      <c r="B19" s="113"/>
      <c r="C19" s="112"/>
      <c r="D19" s="77"/>
      <c r="E19" s="114"/>
      <c r="F19" s="115"/>
      <c r="G19" s="114"/>
      <c r="H19" s="111"/>
      <c r="I19" s="111"/>
      <c r="J19" s="77"/>
      <c r="L19" s="83" t="str" cm="1">
        <f t="array" ref="L19">IFERROR(INDEX(D$5:D$49,SMALL(IF(E$5:E$49&lt;&gt;"",ROW(D$5:D$49)-ROW(D$5)+1),ROWS(D$5:D20))),"")</f>
        <v/>
      </c>
      <c r="M19" s="83" t="str" cm="1">
        <f t="array" ref="M19">IFERROR(INDEX(E$5:E$49,SMALL(IF(D$5:D$49&lt;&gt;"",ROW(E$5:E$49)-ROW(E$5)+1),ROWS(E$5:E20))),"")</f>
        <v/>
      </c>
      <c r="N19" s="84" t="str">
        <f t="shared" si="0"/>
        <v/>
      </c>
      <c r="O19" s="85" t="str">
        <f t="shared" si="1"/>
        <v xml:space="preserve"> </v>
      </c>
    </row>
    <row r="20" spans="1:15" ht="36.6" customHeight="1" x14ac:dyDescent="0.25">
      <c r="A20" s="77"/>
      <c r="B20" s="113"/>
      <c r="C20" s="112"/>
      <c r="D20" s="77"/>
      <c r="E20" s="114"/>
      <c r="F20" s="115"/>
      <c r="G20" s="114"/>
      <c r="H20" s="111"/>
      <c r="I20" s="111"/>
      <c r="J20" s="77"/>
      <c r="L20" s="83" t="str" cm="1">
        <f t="array" ref="L20">IFERROR(INDEX(D$5:D$49,SMALL(IF(E$5:E$49&lt;&gt;"",ROW(D$5:D$49)-ROW(D$5)+1),ROWS(D$5:D21))),"")</f>
        <v/>
      </c>
      <c r="M20" s="83" t="str" cm="1">
        <f t="array" ref="M20">IFERROR(INDEX(E$5:E$49,SMALL(IF(D$5:D$49&lt;&gt;"",ROW(E$5:E$49)-ROW(E$5)+1),ROWS(E$5:E21))),"")</f>
        <v/>
      </c>
      <c r="N20" s="84" t="str">
        <f t="shared" si="0"/>
        <v/>
      </c>
      <c r="O20" s="85" t="str">
        <f t="shared" si="1"/>
        <v xml:space="preserve"> </v>
      </c>
    </row>
    <row r="21" spans="1:15" ht="36.6" customHeight="1" x14ac:dyDescent="0.25">
      <c r="A21" s="77"/>
      <c r="B21" s="113"/>
      <c r="C21" s="112"/>
      <c r="D21" s="77"/>
      <c r="E21" s="114"/>
      <c r="F21" s="77"/>
      <c r="G21" s="77"/>
      <c r="H21" s="111"/>
      <c r="I21" s="111"/>
      <c r="J21" s="77"/>
      <c r="L21" s="83" t="str" cm="1">
        <f t="array" ref="L21">IFERROR(INDEX(D$5:D$49,SMALL(IF(E$5:E$49&lt;&gt;"",ROW(D$5:D$49)-ROW(D$5)+1),ROWS(D$5:D22))),"")</f>
        <v/>
      </c>
      <c r="M21" s="83" t="str" cm="1">
        <f t="array" ref="M21">IFERROR(INDEX(E$5:E$49,SMALL(IF(D$5:D$49&lt;&gt;"",ROW(E$5:E$49)-ROW(E$5)+1),ROWS(E$5:E22))),"")</f>
        <v/>
      </c>
      <c r="N21" s="84" t="str">
        <f t="shared" si="0"/>
        <v/>
      </c>
      <c r="O21" s="85" t="str">
        <f t="shared" si="1"/>
        <v xml:space="preserve"> </v>
      </c>
    </row>
    <row r="22" spans="1:15" ht="36.6" customHeight="1" x14ac:dyDescent="0.25">
      <c r="A22" s="77"/>
      <c r="B22" s="113"/>
      <c r="C22" s="112"/>
      <c r="D22" s="77"/>
      <c r="E22" s="114"/>
      <c r="F22" s="115"/>
      <c r="G22" s="114"/>
      <c r="H22" s="111"/>
      <c r="I22" s="111"/>
      <c r="J22" s="77"/>
      <c r="L22" s="83" t="str" cm="1">
        <f t="array" ref="L22">IFERROR(INDEX(D$5:D$49,SMALL(IF(E$5:E$49&lt;&gt;"",ROW(D$5:D$49)-ROW(D$5)+1),ROWS(D$5:D23))),"")</f>
        <v/>
      </c>
      <c r="M22" s="83" t="str" cm="1">
        <f t="array" ref="M22">IFERROR(INDEX(E$5:E$49,SMALL(IF(D$5:D$49&lt;&gt;"",ROW(E$5:E$49)-ROW(E$5)+1),ROWS(E$5:E23))),"")</f>
        <v/>
      </c>
      <c r="N22" s="84" t="str">
        <f t="shared" si="0"/>
        <v/>
      </c>
      <c r="O22" s="85" t="str">
        <f t="shared" si="1"/>
        <v xml:space="preserve"> </v>
      </c>
    </row>
    <row r="23" spans="1:15" ht="36.6" customHeight="1" x14ac:dyDescent="0.25">
      <c r="A23" s="77"/>
      <c r="B23" s="113"/>
      <c r="C23" s="112"/>
      <c r="D23" s="77"/>
      <c r="E23" s="114"/>
      <c r="F23" s="115"/>
      <c r="G23" s="114"/>
      <c r="H23" s="111"/>
      <c r="I23" s="111"/>
      <c r="J23" s="77"/>
      <c r="L23" s="83" t="str" cm="1">
        <f t="array" ref="L23">IFERROR(INDEX(D$5:D$49,SMALL(IF(E$5:E$49&lt;&gt;"",ROW(D$5:D$49)-ROW(D$5)+1),ROWS(D$5:D24))),"")</f>
        <v/>
      </c>
      <c r="M23" s="83" t="str" cm="1">
        <f t="array" ref="M23">IFERROR(INDEX(E$5:E$49,SMALL(IF(D$5:D$49&lt;&gt;"",ROW(E$5:E$49)-ROW(E$5)+1),ROWS(E$5:E24))),"")</f>
        <v/>
      </c>
      <c r="N23" s="84" t="str">
        <f t="shared" si="0"/>
        <v/>
      </c>
      <c r="O23" s="85" t="str">
        <f t="shared" si="1"/>
        <v xml:space="preserve"> </v>
      </c>
    </row>
    <row r="24" spans="1:15" ht="36.6" customHeight="1" x14ac:dyDescent="0.25">
      <c r="A24" s="77"/>
      <c r="B24" s="113"/>
      <c r="C24" s="112"/>
      <c r="D24" s="77"/>
      <c r="E24" s="114"/>
      <c r="F24" s="115"/>
      <c r="G24" s="114"/>
      <c r="H24" s="111"/>
      <c r="I24" s="111"/>
      <c r="J24" s="77"/>
      <c r="L24" s="83" t="str" cm="1">
        <f t="array" ref="L24">IFERROR(INDEX(D$5:D$49,SMALL(IF(E$5:E$49&lt;&gt;"",ROW(D$5:D$49)-ROW(D$5)+1),ROWS(D$5:D25))),"")</f>
        <v/>
      </c>
      <c r="M24" s="83" t="str" cm="1">
        <f t="array" ref="M24">IFERROR(INDEX(E$5:E$49,SMALL(IF(D$5:D$49&lt;&gt;"",ROW(E$5:E$49)-ROW(E$5)+1),ROWS(E$5:E25))),"")</f>
        <v/>
      </c>
      <c r="N24" s="84" t="str">
        <f t="shared" si="0"/>
        <v/>
      </c>
      <c r="O24" s="85" t="str">
        <f t="shared" si="1"/>
        <v xml:space="preserve"> </v>
      </c>
    </row>
    <row r="25" spans="1:15" ht="36.6" customHeight="1" x14ac:dyDescent="0.25">
      <c r="A25" s="77"/>
      <c r="B25" s="113"/>
      <c r="C25" s="112"/>
      <c r="D25" s="77"/>
      <c r="E25" s="114"/>
      <c r="F25" s="77"/>
      <c r="G25" s="77"/>
      <c r="H25" s="111"/>
      <c r="I25" s="111"/>
      <c r="J25" s="77"/>
      <c r="L25" s="83" t="str" cm="1">
        <f t="array" ref="L25">IFERROR(INDEX(D$5:D$49,SMALL(IF(E$5:E$49&lt;&gt;"",ROW(D$5:D$49)-ROW(D$5)+1),ROWS(D$5:D26))),"")</f>
        <v/>
      </c>
      <c r="M25" s="83" t="str" cm="1">
        <f t="array" ref="M25">IFERROR(INDEX(E$5:E$49,SMALL(IF(D$5:D$49&lt;&gt;"",ROW(E$5:E$49)-ROW(E$5)+1),ROWS(E$5:E26))),"")</f>
        <v/>
      </c>
      <c r="N25" s="84" t="str">
        <f t="shared" si="0"/>
        <v/>
      </c>
      <c r="O25" s="85" t="str">
        <f t="shared" si="1"/>
        <v xml:space="preserve"> </v>
      </c>
    </row>
    <row r="26" spans="1:15" ht="36.6" customHeight="1" x14ac:dyDescent="0.25">
      <c r="A26" s="77"/>
      <c r="B26" s="113"/>
      <c r="C26" s="112"/>
      <c r="D26" s="77"/>
      <c r="E26" s="114"/>
      <c r="F26" s="77"/>
      <c r="G26" s="77"/>
      <c r="H26" s="111"/>
      <c r="I26" s="111"/>
      <c r="J26" s="77"/>
      <c r="L26" s="83" t="str" cm="1">
        <f t="array" ref="L26">IFERROR(INDEX(D$5:D$49,SMALL(IF(E$5:E$49&lt;&gt;"",ROW(D$5:D$49)-ROW(D$5)+1),ROWS(D$5:D27))),"")</f>
        <v/>
      </c>
      <c r="M26" s="83" t="str" cm="1">
        <f t="array" ref="M26">IFERROR(INDEX(E$5:E$49,SMALL(IF(D$5:D$49&lt;&gt;"",ROW(E$5:E$49)-ROW(E$5)+1),ROWS(E$5:E27))),"")</f>
        <v/>
      </c>
      <c r="N26" s="84" t="str">
        <f t="shared" si="0"/>
        <v/>
      </c>
      <c r="O26" s="85" t="str">
        <f t="shared" si="1"/>
        <v xml:space="preserve"> </v>
      </c>
    </row>
    <row r="27" spans="1:15" ht="36.6" customHeight="1" x14ac:dyDescent="0.25">
      <c r="A27" s="77"/>
      <c r="B27" s="113"/>
      <c r="C27" s="112"/>
      <c r="D27" s="77"/>
      <c r="E27" s="114"/>
      <c r="F27" s="77"/>
      <c r="G27" s="77"/>
      <c r="H27" s="111"/>
      <c r="I27" s="111"/>
      <c r="J27" s="77"/>
      <c r="L27" s="83" t="str" cm="1">
        <f t="array" ref="L27">IFERROR(INDEX(D$5:D$49,SMALL(IF(E$5:E$49&lt;&gt;"",ROW(D$5:D$49)-ROW(D$5)+1),ROWS(D$5:D28))),"")</f>
        <v/>
      </c>
      <c r="M27" s="83" t="str" cm="1">
        <f t="array" ref="M27">IFERROR(INDEX(E$5:E$49,SMALL(IF(D$5:D$49&lt;&gt;"",ROW(E$5:E$49)-ROW(E$5)+1),ROWS(E$5:E28))),"")</f>
        <v/>
      </c>
      <c r="N27" s="84" t="str">
        <f t="shared" si="0"/>
        <v/>
      </c>
      <c r="O27" s="85" t="str">
        <f t="shared" si="1"/>
        <v xml:space="preserve"> </v>
      </c>
    </row>
    <row r="28" spans="1:15" ht="36.6" customHeight="1" x14ac:dyDescent="0.25">
      <c r="A28" s="77"/>
      <c r="B28" s="116"/>
      <c r="C28" s="112"/>
      <c r="D28" s="77"/>
      <c r="E28" s="114"/>
      <c r="F28" s="77"/>
      <c r="G28" s="77"/>
      <c r="H28" s="111"/>
      <c r="I28" s="111"/>
      <c r="J28" s="77"/>
      <c r="L28" s="83" t="str" cm="1">
        <f t="array" ref="L28">IFERROR(INDEX(D$5:D$49,SMALL(IF(E$5:E$49&lt;&gt;"",ROW(D$5:D$49)-ROW(D$5)+1),ROWS(D$5:D29))),"")</f>
        <v/>
      </c>
      <c r="M28" s="83" t="str" cm="1">
        <f t="array" ref="M28">IFERROR(INDEX(E$5:E$49,SMALL(IF(D$5:D$49&lt;&gt;"",ROW(E$5:E$49)-ROW(E$5)+1),ROWS(E$5:E29))),"")</f>
        <v/>
      </c>
      <c r="N28" s="84" t="str">
        <f t="shared" si="0"/>
        <v/>
      </c>
      <c r="O28" s="85" t="str">
        <f t="shared" si="1"/>
        <v xml:space="preserve"> </v>
      </c>
    </row>
    <row r="29" spans="1:15" ht="36.6" customHeight="1" x14ac:dyDescent="0.25">
      <c r="A29" s="77"/>
      <c r="B29" s="116"/>
      <c r="C29" s="112"/>
      <c r="D29" s="77"/>
      <c r="E29" s="114"/>
      <c r="F29" s="77"/>
      <c r="G29" s="77"/>
      <c r="H29" s="111"/>
      <c r="I29" s="111"/>
      <c r="J29" s="77"/>
      <c r="L29" s="83" t="str" cm="1">
        <f t="array" ref="L29">IFERROR(INDEX(D$5:D$49,SMALL(IF(E$5:E$49&lt;&gt;"",ROW(D$5:D$49)-ROW(D$5)+1),ROWS(D$5:D30))),"")</f>
        <v/>
      </c>
      <c r="M29" s="83" t="str" cm="1">
        <f t="array" ref="M29">IFERROR(INDEX(E$5:E$49,SMALL(IF(D$5:D$49&lt;&gt;"",ROW(E$5:E$49)-ROW(E$5)+1),ROWS(E$5:E30))),"")</f>
        <v/>
      </c>
      <c r="N29" s="84" t="str">
        <f t="shared" si="0"/>
        <v/>
      </c>
      <c r="O29" s="85" t="str">
        <f t="shared" si="1"/>
        <v xml:space="preserve"> </v>
      </c>
    </row>
    <row r="30" spans="1:15" ht="36.6" customHeight="1" x14ac:dyDescent="0.25">
      <c r="A30" s="77"/>
      <c r="B30" s="116"/>
      <c r="C30" s="112"/>
      <c r="D30" s="77"/>
      <c r="E30" s="114"/>
      <c r="F30" s="77"/>
      <c r="G30" s="77"/>
      <c r="H30" s="77"/>
      <c r="I30" s="77"/>
      <c r="J30" s="77"/>
      <c r="L30" s="83" t="str" cm="1">
        <f t="array" ref="L30">IFERROR(INDEX(D$5:D$49,SMALL(IF(E$5:E$49&lt;&gt;"",ROW(D$5:D$49)-ROW(D$5)+1),ROWS(D$5:D31))),"")</f>
        <v/>
      </c>
      <c r="M30" s="83" t="str" cm="1">
        <f t="array" ref="M30">IFERROR(INDEX(E$5:E$49,SMALL(IF(D$5:D$49&lt;&gt;"",ROW(E$5:E$49)-ROW(E$5)+1),ROWS(E$5:E31))),"")</f>
        <v/>
      </c>
      <c r="N30" s="84" t="str">
        <f t="shared" si="0"/>
        <v/>
      </c>
      <c r="O30" s="85" t="str">
        <f t="shared" si="1"/>
        <v xml:space="preserve"> </v>
      </c>
    </row>
    <row r="31" spans="1:15" ht="36.6" customHeight="1" x14ac:dyDescent="0.25">
      <c r="A31" s="77"/>
      <c r="B31" s="77"/>
      <c r="C31" s="77"/>
      <c r="D31" s="77"/>
      <c r="E31" s="114"/>
      <c r="F31" s="77"/>
      <c r="G31" s="77"/>
      <c r="H31" s="77"/>
      <c r="I31" s="77"/>
      <c r="J31" s="77"/>
      <c r="L31" s="83" t="str" cm="1">
        <f t="array" ref="L31">IFERROR(INDEX(D$5:D$49,SMALL(IF(E$5:E$49&lt;&gt;"",ROW(D$5:D$49)-ROW(D$5)+1),ROWS(D$5:D32))),"")</f>
        <v/>
      </c>
      <c r="M31" s="83" t="str" cm="1">
        <f t="array" ref="M31">IFERROR(INDEX(E$5:E$49,SMALL(IF(D$5:D$49&lt;&gt;"",ROW(E$5:E$49)-ROW(E$5)+1),ROWS(E$5:E32))),"")</f>
        <v/>
      </c>
      <c r="N31" s="84" t="str">
        <f t="shared" si="0"/>
        <v/>
      </c>
      <c r="O31" s="85" t="str">
        <f t="shared" si="1"/>
        <v xml:space="preserve"> </v>
      </c>
    </row>
    <row r="32" spans="1:15" ht="36.6" customHeight="1" x14ac:dyDescent="0.25">
      <c r="A32" s="77"/>
      <c r="B32" s="77"/>
      <c r="C32" s="77"/>
      <c r="D32" s="77"/>
      <c r="E32" s="114"/>
      <c r="F32" s="77"/>
      <c r="G32" s="77"/>
      <c r="H32" s="77"/>
      <c r="I32" s="77"/>
      <c r="J32" s="77"/>
      <c r="L32" s="83" t="str" cm="1">
        <f t="array" ref="L32">IFERROR(INDEX(D$5:D$49,SMALL(IF(E$5:E$49&lt;&gt;"",ROW(D$5:D$49)-ROW(D$5)+1),ROWS(D$5:D33))),"")</f>
        <v/>
      </c>
      <c r="M32" s="83" t="str" cm="1">
        <f t="array" ref="M32">IFERROR(INDEX(E$5:E$49,SMALL(IF(D$5:D$49&lt;&gt;"",ROW(E$5:E$49)-ROW(E$5)+1),ROWS(E$5:E33))),"")</f>
        <v/>
      </c>
      <c r="N32" s="84" t="str">
        <f t="shared" si="0"/>
        <v/>
      </c>
      <c r="O32" s="85" t="str">
        <f t="shared" si="1"/>
        <v xml:space="preserve"> </v>
      </c>
    </row>
    <row r="33" spans="1:15" ht="29.1" customHeight="1" x14ac:dyDescent="0.25">
      <c r="A33" s="77"/>
      <c r="B33" s="77"/>
      <c r="C33" s="77"/>
      <c r="D33" s="77"/>
      <c r="E33" s="114"/>
      <c r="F33" s="77"/>
      <c r="G33" s="77"/>
      <c r="H33" s="77"/>
      <c r="I33" s="77"/>
      <c r="J33" s="77"/>
      <c r="L33" s="83" t="str" cm="1">
        <f t="array" ref="L33">IFERROR(INDEX(D$5:D$49,SMALL(IF(E$5:E$49&lt;&gt;"",ROW(D$5:D$49)-ROW(D$5)+1),ROWS(D$5:D34))),"")</f>
        <v/>
      </c>
      <c r="M33" s="83" t="str" cm="1">
        <f t="array" ref="M33">IFERROR(INDEX(E$5:E$49,SMALL(IF(D$5:D$49&lt;&gt;"",ROW(E$5:E$49)-ROW(E$5)+1),ROWS(E$5:E34))),"")</f>
        <v/>
      </c>
      <c r="N33" s="84" t="str">
        <f t="shared" si="0"/>
        <v/>
      </c>
      <c r="O33" s="85" t="str">
        <f t="shared" si="1"/>
        <v xml:space="preserve"> </v>
      </c>
    </row>
    <row r="34" spans="1:15" ht="29.1" customHeight="1" x14ac:dyDescent="0.25">
      <c r="A34" s="77"/>
      <c r="B34" s="77"/>
      <c r="C34" s="77"/>
      <c r="D34" s="77"/>
      <c r="E34" s="114"/>
      <c r="F34" s="77"/>
      <c r="G34" s="77"/>
      <c r="H34" s="77"/>
      <c r="I34" s="77"/>
      <c r="J34" s="77"/>
      <c r="L34" s="83" t="str" cm="1">
        <f t="array" ref="L34">IFERROR(INDEX(D$5:D$49,SMALL(IF(E$5:E$49&lt;&gt;"",ROW(D$5:D$49)-ROW(D$5)+1),ROWS(D$5:D35))),"")</f>
        <v/>
      </c>
      <c r="M34" s="83" t="str" cm="1">
        <f t="array" ref="M34">IFERROR(INDEX(E$5:E$49,SMALL(IF(D$5:D$49&lt;&gt;"",ROW(E$5:E$49)-ROW(E$5)+1),ROWS(E$5:E35))),"")</f>
        <v/>
      </c>
      <c r="N34" s="84" t="str">
        <f t="shared" si="0"/>
        <v/>
      </c>
      <c r="O34" s="85" t="str">
        <f t="shared" si="1"/>
        <v xml:space="preserve"> </v>
      </c>
    </row>
    <row r="35" spans="1:15" ht="29.1" customHeight="1" x14ac:dyDescent="0.25">
      <c r="A35" s="77"/>
      <c r="B35" s="77"/>
      <c r="C35" s="77"/>
      <c r="D35" s="77"/>
      <c r="E35" s="114"/>
      <c r="F35" s="77"/>
      <c r="G35" s="77"/>
      <c r="H35" s="77"/>
      <c r="I35" s="77"/>
      <c r="J35" s="77"/>
      <c r="L35" s="83" t="str" cm="1">
        <f t="array" ref="L35">IFERROR(INDEX(D$5:D$49,SMALL(IF(E$5:E$49&lt;&gt;"",ROW(D$5:D$49)-ROW(D$5)+1),ROWS(D$5:D36))),"")</f>
        <v/>
      </c>
      <c r="M35" s="83" t="str" cm="1">
        <f t="array" ref="M35">IFERROR(INDEX(E$5:E$49,SMALL(IF(D$5:D$49&lt;&gt;"",ROW(E$5:E$49)-ROW(E$5)+1),ROWS(E$5:E36))),"")</f>
        <v/>
      </c>
      <c r="N35" s="84" t="str">
        <f t="shared" si="0"/>
        <v/>
      </c>
      <c r="O35" s="85" t="str">
        <f t="shared" si="1"/>
        <v xml:space="preserve"> </v>
      </c>
    </row>
    <row r="36" spans="1:15" ht="29.1" customHeight="1" x14ac:dyDescent="0.25">
      <c r="A36" s="77"/>
      <c r="B36" s="77"/>
      <c r="C36" s="77"/>
      <c r="D36" s="77"/>
      <c r="E36" s="114"/>
      <c r="F36" s="77"/>
      <c r="G36" s="77"/>
      <c r="H36" s="77"/>
      <c r="I36" s="77"/>
      <c r="J36" s="77"/>
      <c r="L36" s="83" t="str" cm="1">
        <f t="array" ref="L36">IFERROR(INDEX(D$5:D$49,SMALL(IF(E$5:E$49&lt;&gt;"",ROW(D$5:D$49)-ROW(D$5)+1),ROWS(D$5:D37))),"")</f>
        <v/>
      </c>
      <c r="M36" s="83" t="str" cm="1">
        <f t="array" ref="M36">IFERROR(INDEX(E$5:E$49,SMALL(IF(D$5:D$49&lt;&gt;"",ROW(E$5:E$49)-ROW(E$5)+1),ROWS(E$5:E37))),"")</f>
        <v/>
      </c>
      <c r="N36" s="84" t="str">
        <f t="shared" si="0"/>
        <v/>
      </c>
      <c r="O36" s="85" t="str">
        <f t="shared" si="1"/>
        <v xml:space="preserve"> </v>
      </c>
    </row>
    <row r="37" spans="1:15" ht="29.1" customHeight="1" x14ac:dyDescent="0.25">
      <c r="A37" s="77"/>
      <c r="B37" s="77"/>
      <c r="C37" s="77"/>
      <c r="D37" s="77"/>
      <c r="E37" s="114"/>
      <c r="F37" s="77"/>
      <c r="G37" s="77"/>
      <c r="H37" s="77"/>
      <c r="I37" s="77"/>
      <c r="J37" s="77"/>
      <c r="L37" s="83" t="str" cm="1">
        <f t="array" ref="L37">IFERROR(INDEX(D$5:D$49,SMALL(IF(E$5:E$49&lt;&gt;"",ROW(D$5:D$49)-ROW(D$5)+1),ROWS(D$5:D38))),"")</f>
        <v/>
      </c>
      <c r="M37" s="83" t="str" cm="1">
        <f t="array" ref="M37">IFERROR(INDEX(E$5:E$49,SMALL(IF(D$5:D$49&lt;&gt;"",ROW(E$5:E$49)-ROW(E$5)+1),ROWS(E$5:E38))),"")</f>
        <v/>
      </c>
      <c r="N37" s="84" t="str">
        <f t="shared" si="0"/>
        <v/>
      </c>
      <c r="O37" s="85" t="str">
        <f t="shared" si="1"/>
        <v xml:space="preserve"> </v>
      </c>
    </row>
    <row r="38" spans="1:15" ht="29.1" customHeight="1" x14ac:dyDescent="0.25">
      <c r="A38" s="77"/>
      <c r="B38" s="77"/>
      <c r="C38" s="77"/>
      <c r="D38" s="77"/>
      <c r="E38" s="114"/>
      <c r="F38" s="77"/>
      <c r="G38" s="77"/>
      <c r="H38" s="77"/>
      <c r="I38" s="77"/>
      <c r="J38" s="77"/>
      <c r="L38" s="83" t="str" cm="1">
        <f t="array" ref="L38">IFERROR(INDEX(D$5:D$49,SMALL(IF(E$5:E$49&lt;&gt;"",ROW(D$5:D$49)-ROW(D$5)+1),ROWS(D$5:D39))),"")</f>
        <v/>
      </c>
      <c r="M38" s="83" t="str" cm="1">
        <f t="array" ref="M38">IFERROR(INDEX(E$5:E$49,SMALL(IF(D$5:D$49&lt;&gt;"",ROW(E$5:E$49)-ROW(E$5)+1),ROWS(E$5:E39))),"")</f>
        <v/>
      </c>
      <c r="N38" s="84" t="str">
        <f t="shared" si="0"/>
        <v/>
      </c>
      <c r="O38" s="85" t="str">
        <f t="shared" si="1"/>
        <v xml:space="preserve"> </v>
      </c>
    </row>
    <row r="39" spans="1:15" ht="29.1" customHeight="1" x14ac:dyDescent="0.25">
      <c r="A39" s="77"/>
      <c r="B39" s="77"/>
      <c r="C39" s="77"/>
      <c r="D39" s="77"/>
      <c r="E39" s="114"/>
      <c r="F39" s="77"/>
      <c r="G39" s="77"/>
      <c r="H39" s="77"/>
      <c r="I39" s="77"/>
      <c r="J39" s="77"/>
      <c r="L39" s="83" t="str" cm="1">
        <f t="array" ref="L39">IFERROR(INDEX(D$5:D$49,SMALL(IF(E$5:E$49&lt;&gt;"",ROW(D$5:D$49)-ROW(D$5)+1),ROWS(D$5:D40))),"")</f>
        <v/>
      </c>
      <c r="M39" s="83" t="str" cm="1">
        <f t="array" ref="M39">IFERROR(INDEX(E$5:E$49,SMALL(IF(D$5:D$49&lt;&gt;"",ROW(E$5:E$49)-ROW(E$5)+1),ROWS(E$5:E40))),"")</f>
        <v/>
      </c>
      <c r="N39" s="84" t="str">
        <f t="shared" si="0"/>
        <v/>
      </c>
      <c r="O39" s="85" t="str">
        <f t="shared" si="1"/>
        <v xml:space="preserve"> </v>
      </c>
    </row>
    <row r="40" spans="1:15" ht="29.1" customHeight="1" x14ac:dyDescent="0.25">
      <c r="A40" s="77"/>
      <c r="B40" s="77"/>
      <c r="C40" s="77"/>
      <c r="D40" s="77"/>
      <c r="E40" s="114"/>
      <c r="F40" s="77"/>
      <c r="G40" s="77"/>
      <c r="H40" s="77"/>
      <c r="I40" s="77"/>
      <c r="J40" s="77"/>
      <c r="L40" s="83" t="str" cm="1">
        <f t="array" ref="L40">IFERROR(INDEX(D$5:D$49,SMALL(IF(E$5:E$49&lt;&gt;"",ROW(D$5:D$49)-ROW(D$5)+1),ROWS(D$5:D41))),"")</f>
        <v/>
      </c>
      <c r="M40" s="83" t="str" cm="1">
        <f t="array" ref="M40">IFERROR(INDEX(E$5:E$49,SMALL(IF(D$5:D$49&lt;&gt;"",ROW(E$5:E$49)-ROW(E$5)+1),ROWS(E$5:E41))),"")</f>
        <v/>
      </c>
      <c r="N40" s="84" t="str">
        <f t="shared" si="0"/>
        <v/>
      </c>
      <c r="O40" s="85" t="str">
        <f t="shared" si="1"/>
        <v xml:space="preserve"> </v>
      </c>
    </row>
    <row r="41" spans="1:15" ht="29.1" customHeight="1" x14ac:dyDescent="0.25">
      <c r="A41" s="77"/>
      <c r="B41" s="77"/>
      <c r="C41" s="77"/>
      <c r="D41" s="77"/>
      <c r="E41" s="114"/>
      <c r="F41" s="77"/>
      <c r="G41" s="77"/>
      <c r="H41" s="77"/>
      <c r="I41" s="77"/>
      <c r="J41" s="77"/>
      <c r="L41" s="83" t="str" cm="1">
        <f t="array" ref="L41">IFERROR(INDEX(D$5:D$49,SMALL(IF(E$5:E$49&lt;&gt;"",ROW(D$5:D$49)-ROW(D$5)+1),ROWS(D$5:D42))),"")</f>
        <v/>
      </c>
      <c r="M41" s="83" t="str" cm="1">
        <f t="array" ref="M41">IFERROR(INDEX(E$5:E$49,SMALL(IF(D$5:D$49&lt;&gt;"",ROW(E$5:E$49)-ROW(E$5)+1),ROWS(E$5:E42))),"")</f>
        <v/>
      </c>
      <c r="N41" s="84" t="str">
        <f t="shared" si="0"/>
        <v/>
      </c>
      <c r="O41" s="85" t="str">
        <f t="shared" si="1"/>
        <v xml:space="preserve"> </v>
      </c>
    </row>
    <row r="42" spans="1:15" ht="29.1" customHeight="1" x14ac:dyDescent="0.25">
      <c r="A42" s="77"/>
      <c r="B42" s="77"/>
      <c r="C42" s="77"/>
      <c r="D42" s="77"/>
      <c r="E42" s="114"/>
      <c r="F42" s="77"/>
      <c r="G42" s="77"/>
      <c r="H42" s="77"/>
      <c r="I42" s="77"/>
      <c r="J42" s="77"/>
      <c r="L42" s="83" t="str" cm="1">
        <f t="array" ref="L42">IFERROR(INDEX(D$5:D$49,SMALL(IF(E$5:E$49&lt;&gt;"",ROW(D$5:D$49)-ROW(D$5)+1),ROWS(D$5:D43))),"")</f>
        <v/>
      </c>
      <c r="M42" s="83" t="str" cm="1">
        <f t="array" ref="M42">IFERROR(INDEX(E$5:E$49,SMALL(IF(D$5:D$49&lt;&gt;"",ROW(E$5:E$49)-ROW(E$5)+1),ROWS(E$5:E43))),"")</f>
        <v/>
      </c>
      <c r="N42" s="84" t="str">
        <f t="shared" si="0"/>
        <v/>
      </c>
      <c r="O42" s="85" t="str">
        <f t="shared" si="1"/>
        <v xml:space="preserve"> </v>
      </c>
    </row>
    <row r="43" spans="1:15" ht="29.1" customHeight="1" x14ac:dyDescent="0.25">
      <c r="A43" s="77"/>
      <c r="B43" s="77"/>
      <c r="C43" s="77"/>
      <c r="D43" s="77"/>
      <c r="E43" s="114"/>
      <c r="F43" s="77"/>
      <c r="G43" s="77"/>
      <c r="H43" s="77"/>
      <c r="I43" s="77"/>
      <c r="J43" s="77"/>
      <c r="L43" s="83" t="str" cm="1">
        <f t="array" ref="L43">IFERROR(INDEX(D$5:D$49,SMALL(IF(E$5:E$49&lt;&gt;"",ROW(D$5:D$49)-ROW(D$5)+1),ROWS(D$5:D44))),"")</f>
        <v/>
      </c>
      <c r="M43" s="83" t="str" cm="1">
        <f t="array" ref="M43">IFERROR(INDEX(E$5:E$49,SMALL(IF(D$5:D$49&lt;&gt;"",ROW(E$5:E$49)-ROW(E$5)+1),ROWS(E$5:E44))),"")</f>
        <v/>
      </c>
      <c r="N43" s="84" t="str">
        <f t="shared" si="0"/>
        <v/>
      </c>
      <c r="O43" s="85" t="str">
        <f t="shared" si="1"/>
        <v xml:space="preserve"> </v>
      </c>
    </row>
    <row r="44" spans="1:15" ht="29.1" customHeight="1" x14ac:dyDescent="0.25">
      <c r="A44" s="77"/>
      <c r="B44" s="77"/>
      <c r="C44" s="77"/>
      <c r="D44" s="77"/>
      <c r="E44" s="114"/>
      <c r="F44" s="77"/>
      <c r="G44" s="77"/>
      <c r="H44" s="77"/>
      <c r="I44" s="77"/>
      <c r="J44" s="77"/>
      <c r="L44" s="83" t="str" cm="1">
        <f t="array" ref="L44">IFERROR(INDEX(D$5:D$49,SMALL(IF(E$5:E$49&lt;&gt;"",ROW(D$5:D$49)-ROW(D$5)+1),ROWS(D$5:D45))),"")</f>
        <v/>
      </c>
      <c r="M44" s="83" t="str" cm="1">
        <f t="array" ref="M44">IFERROR(INDEX(E$5:E$49,SMALL(IF(D$5:D$49&lt;&gt;"",ROW(E$5:E$49)-ROW(E$5)+1),ROWS(E$5:E45))),"")</f>
        <v/>
      </c>
      <c r="N44" s="84" t="str">
        <f t="shared" si="0"/>
        <v/>
      </c>
      <c r="O44" s="85" t="str">
        <f t="shared" si="1"/>
        <v xml:space="preserve"> </v>
      </c>
    </row>
    <row r="45" spans="1:15" ht="29.1" customHeight="1" x14ac:dyDescent="0.25">
      <c r="A45" s="77"/>
      <c r="B45" s="77"/>
      <c r="C45" s="77"/>
      <c r="D45" s="77"/>
      <c r="E45" s="114"/>
      <c r="F45" s="77"/>
      <c r="G45" s="77"/>
      <c r="H45" s="77"/>
      <c r="I45" s="77"/>
      <c r="J45" s="77"/>
      <c r="L45" s="83" t="str" cm="1">
        <f t="array" ref="L45">IFERROR(INDEX(D$5:D$49,SMALL(IF(E$5:E$49&lt;&gt;"",ROW(D$5:D$49)-ROW(D$5)+1),ROWS(D$5:D46))),"")</f>
        <v/>
      </c>
      <c r="M45" s="83" t="str" cm="1">
        <f t="array" ref="M45">IFERROR(INDEX(E$5:E$49,SMALL(IF(D$5:D$49&lt;&gt;"",ROW(E$5:E$49)-ROW(E$5)+1),ROWS(E$5:E46))),"")</f>
        <v/>
      </c>
      <c r="N45" s="84" t="str">
        <f t="shared" si="0"/>
        <v/>
      </c>
      <c r="O45" s="85" t="str">
        <f t="shared" si="1"/>
        <v xml:space="preserve"> </v>
      </c>
    </row>
    <row r="46" spans="1:15" ht="29.1" customHeight="1" x14ac:dyDescent="0.25">
      <c r="A46" s="77"/>
      <c r="B46" s="77"/>
      <c r="C46" s="77"/>
      <c r="D46" s="77"/>
      <c r="E46" s="114"/>
      <c r="F46" s="77"/>
      <c r="G46" s="77"/>
      <c r="H46" s="77"/>
      <c r="I46" s="77"/>
      <c r="J46" s="77"/>
      <c r="L46" s="83" t="str" cm="1">
        <f t="array" ref="L46">IFERROR(INDEX(D$5:D$49,SMALL(IF(E$5:E$49&lt;&gt;"",ROW(D$5:D$49)-ROW(D$5)+1),ROWS(D$5:D47))),"")</f>
        <v/>
      </c>
      <c r="M46" s="83" t="str" cm="1">
        <f t="array" ref="M46">IFERROR(INDEX(E$5:E$49,SMALL(IF(D$5:D$49&lt;&gt;"",ROW(E$5:E$49)-ROW(E$5)+1),ROWS(E$5:E47))),"")</f>
        <v/>
      </c>
      <c r="N46" s="84" t="str">
        <f t="shared" si="0"/>
        <v/>
      </c>
      <c r="O46" s="85" t="str">
        <f t="shared" si="1"/>
        <v xml:space="preserve"> </v>
      </c>
    </row>
    <row r="47" spans="1:15" ht="29.1" customHeight="1" x14ac:dyDescent="0.25">
      <c r="A47" s="77"/>
      <c r="B47" s="77"/>
      <c r="C47" s="77"/>
      <c r="D47" s="77"/>
      <c r="E47" s="114"/>
      <c r="F47" s="77"/>
      <c r="G47" s="77"/>
      <c r="H47" s="77"/>
      <c r="I47" s="77"/>
      <c r="J47" s="77"/>
      <c r="L47" s="83" t="str" cm="1">
        <f t="array" ref="L47">IFERROR(INDEX(D$5:D$49,SMALL(IF(E$5:E$49&lt;&gt;"",ROW(D$5:D$49)-ROW(D$5)+1),ROWS(D$5:D48))),"")</f>
        <v/>
      </c>
      <c r="M47" s="83" t="str" cm="1">
        <f t="array" ref="M47">IFERROR(INDEX(E$5:E$49,SMALL(IF(D$5:D$49&lt;&gt;"",ROW(E$5:E$49)-ROW(E$5)+1),ROWS(E$5:E48))),"")</f>
        <v/>
      </c>
      <c r="N47" s="84" t="str">
        <f t="shared" si="0"/>
        <v/>
      </c>
      <c r="O47" s="85" t="str">
        <f t="shared" si="1"/>
        <v xml:space="preserve"> </v>
      </c>
    </row>
    <row r="48" spans="1:15" ht="29.1" customHeight="1" x14ac:dyDescent="0.25">
      <c r="A48" s="77"/>
      <c r="B48" s="77"/>
      <c r="C48" s="77"/>
      <c r="D48" s="77"/>
      <c r="E48" s="114"/>
      <c r="F48" s="77"/>
      <c r="G48" s="77"/>
      <c r="H48" s="77"/>
      <c r="I48" s="77"/>
      <c r="J48" s="77"/>
      <c r="L48" s="83" t="str" cm="1">
        <f t="array" ref="L48">IFERROR(INDEX(D$5:D$49,SMALL(IF(E$5:E$49&lt;&gt;"",ROW(D$5:D$49)-ROW(D$5)+1),ROWS(D$5:D49))),"")</f>
        <v/>
      </c>
      <c r="M48" s="83" t="str" cm="1">
        <f t="array" ref="M48">IFERROR(INDEX(E$5:E$49,SMALL(IF(D$5:D$49&lt;&gt;"",ROW(E$5:E$49)-ROW(E$5)+1),ROWS(E$5:E49))),"")</f>
        <v/>
      </c>
      <c r="N48" s="84" t="str">
        <f t="shared" si="0"/>
        <v/>
      </c>
      <c r="O48" s="85" t="str">
        <f t="shared" si="1"/>
        <v xml:space="preserve"> </v>
      </c>
    </row>
    <row r="49" spans="1:15" ht="29.1" customHeight="1" x14ac:dyDescent="0.25">
      <c r="A49" s="77"/>
      <c r="B49" s="77"/>
      <c r="C49" s="77"/>
      <c r="D49" s="77"/>
      <c r="E49" s="114"/>
      <c r="F49" s="77"/>
      <c r="G49" s="77"/>
      <c r="H49" s="77"/>
      <c r="I49" s="77"/>
      <c r="J49" s="77"/>
      <c r="L49" s="83" t="str" cm="1">
        <f t="array" ref="L49">IFERROR(INDEX(D$5:D$49,SMALL(IF(E$5:E$49&lt;&gt;"",ROW(D$5:D$49)-ROW(D$5)+1),ROWS(D$5:D50))),"")</f>
        <v/>
      </c>
      <c r="M49" s="83" t="str" cm="1">
        <f t="array" ref="M49">IFERROR(INDEX(E$5:E$49,SMALL(IF(D$5:D$49&lt;&gt;"",ROW(E$5:E$49)-ROW(E$5)+1),ROWS(E$5:E50))),"")</f>
        <v/>
      </c>
      <c r="N49" s="84" t="str">
        <f t="shared" si="0"/>
        <v/>
      </c>
      <c r="O49" s="85" t="str">
        <f t="shared" si="1"/>
        <v xml:space="preserve"> </v>
      </c>
    </row>
  </sheetData>
  <protectedRanges>
    <protectedRange sqref="E13:E49 A1:A49 E10:E11 B10:D49 F10:J49 B1:J9" name="Range1"/>
  </protectedRanges>
  <mergeCells count="1">
    <mergeCell ref="A1:J1"/>
  </mergeCells>
  <pageMargins left="0.7" right="0.7" top="0.75" bottom="0.75" header="0.3" footer="0.3"/>
  <pageSetup paperSize="9" scale="54"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Y4"/>
  <sheetViews>
    <sheetView topLeftCell="A4" zoomScale="120" zoomScaleNormal="120" workbookViewId="0">
      <selection activeCell="W4" sqref="W4"/>
    </sheetView>
  </sheetViews>
  <sheetFormatPr defaultColWidth="8.5703125" defaultRowHeight="15" x14ac:dyDescent="0.25"/>
  <cols>
    <col min="1" max="3" width="8.5703125" style="52"/>
    <col min="4" max="4" width="17.5703125" style="51" customWidth="1"/>
    <col min="5" max="5" width="11" style="52" customWidth="1"/>
    <col min="6" max="6" width="13.42578125" style="52" customWidth="1"/>
    <col min="7" max="7" width="12.5703125" style="52" customWidth="1"/>
    <col min="8" max="8" width="14.42578125" style="52" customWidth="1"/>
    <col min="9" max="9" width="12.5703125" style="52" customWidth="1"/>
    <col min="10" max="10" width="36.5703125" style="52" bestFit="1" customWidth="1"/>
    <col min="11" max="11" width="18.42578125" style="52" customWidth="1"/>
    <col min="12" max="12" width="18.5703125" style="52" customWidth="1"/>
    <col min="13" max="13" width="13.42578125" style="52" customWidth="1"/>
    <col min="14" max="14" width="16.5703125" style="52" customWidth="1"/>
    <col min="15" max="15" width="16.42578125" style="52" customWidth="1"/>
    <col min="16" max="16" width="20.42578125" style="52" customWidth="1"/>
    <col min="17" max="17" width="18.5703125" style="52" customWidth="1"/>
    <col min="18" max="18" width="17.42578125" style="52" customWidth="1"/>
    <col min="19" max="19" width="31.5703125" style="52" customWidth="1"/>
    <col min="20" max="20" width="41.5703125" style="52" customWidth="1"/>
    <col min="21" max="21" width="65.42578125" style="52" customWidth="1"/>
    <col min="22" max="22" width="44.5703125" style="52" customWidth="1"/>
    <col min="23" max="23" width="44" style="52" customWidth="1"/>
    <col min="24" max="24" width="8.5703125" style="52"/>
    <col min="25" max="25" width="12.5703125" style="52" bestFit="1" customWidth="1"/>
    <col min="26" max="16384" width="8.5703125" style="52"/>
  </cols>
  <sheetData>
    <row r="3" spans="4:25" x14ac:dyDescent="0.25">
      <c r="D3" s="66" t="s">
        <v>72</v>
      </c>
      <c r="E3" s="67" t="s">
        <v>73</v>
      </c>
      <c r="F3" s="68" t="s">
        <v>74</v>
      </c>
      <c r="G3" s="67" t="s">
        <v>11</v>
      </c>
      <c r="H3" s="67" t="s">
        <v>75</v>
      </c>
      <c r="I3" s="67" t="s">
        <v>76</v>
      </c>
      <c r="J3" s="67" t="s">
        <v>77</v>
      </c>
      <c r="K3" s="67" t="s">
        <v>78</v>
      </c>
      <c r="L3" s="67" t="s">
        <v>79</v>
      </c>
      <c r="M3" s="67" t="s">
        <v>80</v>
      </c>
      <c r="N3" s="67" t="s">
        <v>81</v>
      </c>
      <c r="O3" s="67" t="s">
        <v>82</v>
      </c>
      <c r="P3" s="67" t="s">
        <v>83</v>
      </c>
      <c r="Q3" s="67" t="s">
        <v>84</v>
      </c>
      <c r="R3" s="67" t="s">
        <v>85</v>
      </c>
      <c r="S3" s="67" t="s">
        <v>86</v>
      </c>
      <c r="T3" s="67" t="s">
        <v>87</v>
      </c>
      <c r="U3" s="67" t="s">
        <v>88</v>
      </c>
      <c r="V3" s="69" t="s">
        <v>89</v>
      </c>
      <c r="W3" s="67" t="s">
        <v>90</v>
      </c>
      <c r="X3" s="67" t="s">
        <v>91</v>
      </c>
      <c r="Y3" s="67" t="s">
        <v>92</v>
      </c>
    </row>
    <row r="4" spans="4:25" ht="165" customHeight="1" x14ac:dyDescent="0.25">
      <c r="D4" s="70">
        <f>'IPS V4.1'!P8</f>
        <v>0</v>
      </c>
      <c r="E4" s="71" t="str">
        <f>IF(RIGHT(F4,SEARCH("-",F4,1)-1)="ID01","SPM",IF(RIGHT(F4,SEARCH("-",F4,1)-1)="ID02","SKM",IF(RIGHT(F4,SEARCH("-",F4,1)-1)="ID30","RRP","")))</f>
        <v>SPM</v>
      </c>
      <c r="F4" s="71" t="str">
        <f>'IPS V4.1'!P6</f>
        <v>LU21-ID01</v>
      </c>
      <c r="G4" s="71">
        <f>'IPS V4.1'!Q14</f>
        <v>0</v>
      </c>
      <c r="H4" s="71" t="str">
        <f>'IPS V4.1'!C14</f>
        <v/>
      </c>
      <c r="I4" s="71">
        <f>'IPS V4.1'!B19</f>
        <v>0</v>
      </c>
      <c r="J4" s="72">
        <f>'IPS V4.1'!P19</f>
        <v>0</v>
      </c>
      <c r="K4" s="73" t="str">
        <f>IF('IPS V4.1'!B26="","",'IPS V4.1'!B26)</f>
        <v/>
      </c>
      <c r="L4" s="73" t="str">
        <f>IF('IPS V4.1'!R26="","",'IPS V4.1'!R26)</f>
        <v/>
      </c>
      <c r="M4" s="73" t="str">
        <f>IF('IPS V4.1'!B39="","",'IPS V4.1'!B39)</f>
        <v/>
      </c>
      <c r="N4" s="73" t="str">
        <f>IF('IPS V4.1'!R39="","",'IPS V4.1'!R39)</f>
        <v/>
      </c>
      <c r="O4" s="73" t="str">
        <f>IF('IPS V4.1'!B45="","",'IPS V4.1'!B45)</f>
        <v/>
      </c>
      <c r="P4" s="73" t="str">
        <f>IF('IPS V4.1'!R45="","",'IPS V4.1'!R45)</f>
        <v/>
      </c>
      <c r="Q4" s="73" t="str">
        <f>IF('IPS V4.1'!B51="","",'IPS V4.1'!B51)</f>
        <v/>
      </c>
      <c r="R4" s="73" t="str">
        <f>IF('IPS V4.1'!R51="","",'IPS V4.1'!R51)</f>
        <v/>
      </c>
      <c r="S4" s="73" t="str">
        <f>IF('IPS V4.1'!B57="","",'IPS V4.1'!B57)</f>
        <v/>
      </c>
      <c r="T4" s="73" t="str">
        <f>'IPS V4.1'!M66&amp;CHAR(10)&amp;'IPS V4.1'!M68&amp;CHAR(10)&amp;'IPS V4.1'!M70&amp;CHAR(10)&amp;'IPS V4.1'!M72&amp;CHAR(10)&amp;'IPS V4.1'!M74&amp;CHAR(10)&amp;'IPS V4.1'!M76&amp;CHAR(10)&amp;'IPS V4.1'!M78</f>
        <v xml:space="preserve">
</v>
      </c>
      <c r="U4" s="73" t="str">
        <f>'IPS V4.1'!T66&amp;CHAR(10)&amp;'IPS V4.1'!T68&amp;CHAR(10)&amp;'IPS V4.1'!T70&amp;CHAR(10)&amp;'IPS V4.1'!T72&amp;CHAR(10)&amp;'IPS V4.1'!T74&amp;CHAR(10)&amp;'IPS V4.1'!T76&amp;CHAR(10)&amp;'IPS V4.1'!T78</f>
        <v xml:space="preserve">
</v>
      </c>
      <c r="V4" s="74" t="str">
        <f>'IPS V4.1'!AM88</f>
        <v/>
      </c>
      <c r="W4" s="74" t="e">
        <f ca="1">'BCC List'!Q2</f>
        <v>#NAME?</v>
      </c>
      <c r="X4" s="86" t="str">
        <f>IF('IPS V4.1'!BH88="","",'IPS V4.1'!BH88)</f>
        <v/>
      </c>
      <c r="Y4" s="117">
        <f>SUM('Cost Impact Calculator'!B28:B30)</f>
        <v>0</v>
      </c>
    </row>
  </sheetData>
  <sheetProtection algorithmName="SHA-512" hashValue="EZRNNROmBr3cqElhrVgrzkw0J2iK3PbpR/nITtPp0krmDc6y9R0N635557+7Cu/iWDVCHz2cf+vGwk21NZVhDw==" saltValue="Ga07gcGCOQtjL7u7ZLzX3Q=="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E6"/>
  <sheetViews>
    <sheetView topLeftCell="A10" workbookViewId="0">
      <selection activeCell="E5" sqref="E5"/>
    </sheetView>
  </sheetViews>
  <sheetFormatPr defaultColWidth="8.85546875" defaultRowHeight="15" x14ac:dyDescent="0.25"/>
  <cols>
    <col min="1" max="4" width="8.85546875" style="52"/>
    <col min="5" max="5" width="33.42578125" style="52" customWidth="1"/>
    <col min="6" max="16384" width="8.85546875" style="52"/>
  </cols>
  <sheetData>
    <row r="5" spans="5:5" x14ac:dyDescent="0.25">
      <c r="E5" s="123" t="s">
        <v>139</v>
      </c>
    </row>
    <row r="6" spans="5:5" x14ac:dyDescent="0.25">
      <c r="E6" s="124">
        <f>'IPS V4.1'!X14</f>
        <v>0</v>
      </c>
    </row>
  </sheetData>
  <sheetProtection algorithmName="SHA-512" hashValue="nzqca7W3en6ku2rV7WlaN5PZbrAvIPmrWDYl806eiYEX4VA5hkjHdtblZu/CQ3Te584BAxQjiOgxp66SipZUPA==" saltValue="xLt6oxVMjLd28owsogWCkw=="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3" zoomScale="77" workbookViewId="0">
      <selection activeCell="N22" sqref="N22"/>
    </sheetView>
  </sheetViews>
  <sheetFormatPr defaultRowHeight="15" x14ac:dyDescent="0.25"/>
  <cols>
    <col min="1" max="1" width="14.5703125" bestFit="1" customWidth="1"/>
    <col min="2" max="2" width="21.42578125" style="87" bestFit="1" customWidth="1"/>
    <col min="3" max="3" width="10.42578125" bestFit="1" customWidth="1"/>
    <col min="5" max="5" width="12.5703125" customWidth="1"/>
    <col min="6" max="6" width="10" customWidth="1"/>
    <col min="7" max="7" width="10.5703125" customWidth="1"/>
  </cols>
  <sheetData>
    <row r="1" spans="1:9" ht="23.25" x14ac:dyDescent="0.35">
      <c r="A1" s="105" t="s">
        <v>93</v>
      </c>
    </row>
    <row r="2" spans="1:9" x14ac:dyDescent="0.25">
      <c r="A2" s="276" t="s">
        <v>94</v>
      </c>
      <c r="B2" s="277"/>
      <c r="C2" s="278"/>
      <c r="D2" s="97"/>
      <c r="E2" s="279" t="s">
        <v>95</v>
      </c>
      <c r="F2" s="280"/>
      <c r="G2" s="280"/>
      <c r="H2" s="280"/>
      <c r="I2" s="280"/>
    </row>
    <row r="3" spans="1:9" x14ac:dyDescent="0.25">
      <c r="A3" s="92" t="s">
        <v>96</v>
      </c>
      <c r="B3" s="93" t="s">
        <v>97</v>
      </c>
      <c r="C3" s="92" t="s">
        <v>98</v>
      </c>
      <c r="D3" s="97"/>
      <c r="E3" s="95" t="s">
        <v>96</v>
      </c>
      <c r="F3" s="95" t="s">
        <v>99</v>
      </c>
      <c r="G3" s="95" t="s">
        <v>100</v>
      </c>
      <c r="H3" s="92" t="s">
        <v>98</v>
      </c>
      <c r="I3" s="109" t="s">
        <v>101</v>
      </c>
    </row>
    <row r="4" spans="1:9" x14ac:dyDescent="0.25">
      <c r="A4" s="94" t="s">
        <v>102</v>
      </c>
      <c r="B4" s="98">
        <v>30364426.780000001</v>
      </c>
      <c r="C4" s="99">
        <v>16</v>
      </c>
      <c r="E4" s="96" t="s">
        <v>102</v>
      </c>
      <c r="F4" s="100">
        <v>10.67</v>
      </c>
      <c r="G4" s="100">
        <f t="shared" ref="G4:G26" si="0">H4*I4</f>
        <v>320.32</v>
      </c>
      <c r="H4" s="99">
        <v>16</v>
      </c>
      <c r="I4" s="100">
        <v>20.02</v>
      </c>
    </row>
    <row r="5" spans="1:9" x14ac:dyDescent="0.25">
      <c r="A5" s="94" t="s">
        <v>103</v>
      </c>
      <c r="B5" s="98">
        <v>19205852.59</v>
      </c>
      <c r="C5" s="99">
        <v>20</v>
      </c>
      <c r="E5" s="96" t="s">
        <v>103</v>
      </c>
      <c r="F5" s="100">
        <v>8.5</v>
      </c>
      <c r="G5" s="100">
        <f t="shared" si="0"/>
        <v>484</v>
      </c>
      <c r="H5" s="99">
        <v>20</v>
      </c>
      <c r="I5" s="100">
        <v>24.2</v>
      </c>
    </row>
    <row r="6" spans="1:9" x14ac:dyDescent="0.25">
      <c r="A6" s="94" t="s">
        <v>104</v>
      </c>
      <c r="B6" s="98">
        <v>29521194.84</v>
      </c>
      <c r="C6" s="99">
        <v>16</v>
      </c>
      <c r="E6" s="96" t="s">
        <v>104</v>
      </c>
      <c r="F6" s="100">
        <v>10.67</v>
      </c>
      <c r="G6" s="100">
        <f t="shared" si="0"/>
        <v>320.32</v>
      </c>
      <c r="H6" s="99">
        <v>16</v>
      </c>
      <c r="I6" s="100">
        <v>20.02</v>
      </c>
    </row>
    <row r="7" spans="1:9" x14ac:dyDescent="0.25">
      <c r="A7" s="94" t="s">
        <v>105</v>
      </c>
      <c r="B7" s="98">
        <v>18012650.940000001</v>
      </c>
      <c r="C7" s="99">
        <v>16</v>
      </c>
      <c r="E7" s="96" t="s">
        <v>105</v>
      </c>
      <c r="F7" s="100">
        <v>10.67</v>
      </c>
      <c r="G7" s="100">
        <f t="shared" si="0"/>
        <v>320.32</v>
      </c>
      <c r="H7" s="99">
        <v>16</v>
      </c>
      <c r="I7" s="100">
        <v>20.02</v>
      </c>
    </row>
    <row r="8" spans="1:9" x14ac:dyDescent="0.25">
      <c r="A8" s="94" t="s">
        <v>106</v>
      </c>
      <c r="B8" s="98">
        <v>29337262.280000001</v>
      </c>
      <c r="C8" s="99">
        <v>16</v>
      </c>
      <c r="E8" s="96" t="s">
        <v>106</v>
      </c>
      <c r="F8" s="100">
        <v>10.67</v>
      </c>
      <c r="G8" s="100">
        <f t="shared" si="0"/>
        <v>320.32</v>
      </c>
      <c r="H8" s="99">
        <v>16</v>
      </c>
      <c r="I8" s="100">
        <v>20.02</v>
      </c>
    </row>
    <row r="9" spans="1:9" x14ac:dyDescent="0.25">
      <c r="A9" s="94" t="s">
        <v>107</v>
      </c>
      <c r="B9" s="98">
        <v>20003957.77</v>
      </c>
      <c r="C9" s="99">
        <v>10</v>
      </c>
      <c r="E9" s="96" t="s">
        <v>107</v>
      </c>
      <c r="F9" s="100">
        <v>12.36</v>
      </c>
      <c r="G9" s="100">
        <f t="shared" si="0"/>
        <v>263.8</v>
      </c>
      <c r="H9" s="99">
        <v>10</v>
      </c>
      <c r="I9" s="100">
        <v>26.38</v>
      </c>
    </row>
    <row r="10" spans="1:9" x14ac:dyDescent="0.25">
      <c r="A10" s="94" t="s">
        <v>4</v>
      </c>
      <c r="B10" s="98">
        <v>20224688.289999999</v>
      </c>
      <c r="C10" s="99">
        <v>10</v>
      </c>
      <c r="E10" s="96" t="s">
        <v>4</v>
      </c>
      <c r="F10" s="100">
        <v>12.36</v>
      </c>
      <c r="G10" s="100">
        <f t="shared" si="0"/>
        <v>263.8</v>
      </c>
      <c r="H10" s="99">
        <v>10</v>
      </c>
      <c r="I10" s="100">
        <v>26.38</v>
      </c>
    </row>
    <row r="11" spans="1:9" x14ac:dyDescent="0.25">
      <c r="A11" s="94" t="s">
        <v>108</v>
      </c>
      <c r="B11" s="98">
        <v>23925753.77</v>
      </c>
      <c r="C11" s="99">
        <v>16</v>
      </c>
      <c r="E11" s="96" t="s">
        <v>108</v>
      </c>
      <c r="F11" s="100">
        <v>10.67</v>
      </c>
      <c r="G11" s="100">
        <f t="shared" si="0"/>
        <v>320.32</v>
      </c>
      <c r="H11" s="99">
        <v>16</v>
      </c>
      <c r="I11" s="100">
        <v>20.02</v>
      </c>
    </row>
    <row r="12" spans="1:9" x14ac:dyDescent="0.25">
      <c r="A12" s="94" t="s">
        <v>109</v>
      </c>
      <c r="B12" s="98">
        <v>18512971.530000001</v>
      </c>
      <c r="C12" s="99">
        <v>16</v>
      </c>
      <c r="E12" s="96" t="s">
        <v>109</v>
      </c>
      <c r="F12" s="100">
        <v>10.67</v>
      </c>
      <c r="G12" s="100">
        <f t="shared" si="0"/>
        <v>320.32</v>
      </c>
      <c r="H12" s="99">
        <v>16</v>
      </c>
      <c r="I12" s="100">
        <v>20.02</v>
      </c>
    </row>
    <row r="13" spans="1:9" x14ac:dyDescent="0.25">
      <c r="A13" s="94" t="s">
        <v>110</v>
      </c>
      <c r="B13" s="98">
        <v>28230114.739999998</v>
      </c>
      <c r="C13" s="99">
        <v>16</v>
      </c>
      <c r="E13" s="96" t="s">
        <v>110</v>
      </c>
      <c r="F13" s="100">
        <v>10.67</v>
      </c>
      <c r="G13" s="100">
        <f t="shared" si="0"/>
        <v>320.32</v>
      </c>
      <c r="H13" s="99">
        <v>16</v>
      </c>
      <c r="I13" s="100">
        <v>20.02</v>
      </c>
    </row>
    <row r="14" spans="1:9" x14ac:dyDescent="0.25">
      <c r="A14" s="94" t="s">
        <v>111</v>
      </c>
      <c r="B14" s="98">
        <v>11530581.25</v>
      </c>
      <c r="C14" s="99">
        <v>20</v>
      </c>
      <c r="E14" s="96" t="s">
        <v>111</v>
      </c>
      <c r="F14" s="100">
        <v>10.9</v>
      </c>
      <c r="G14" s="100">
        <f t="shared" si="0"/>
        <v>402</v>
      </c>
      <c r="H14" s="99">
        <v>20</v>
      </c>
      <c r="I14" s="100">
        <v>20.100000000000001</v>
      </c>
    </row>
    <row r="15" spans="1:9" x14ac:dyDescent="0.25">
      <c r="A15" s="94" t="s">
        <v>112</v>
      </c>
      <c r="B15" s="98">
        <v>17298597.030000001</v>
      </c>
      <c r="C15" s="99">
        <v>20</v>
      </c>
      <c r="E15" s="96" t="s">
        <v>112</v>
      </c>
      <c r="F15" s="100">
        <v>46.2</v>
      </c>
      <c r="G15" s="100">
        <f t="shared" si="0"/>
        <v>1202</v>
      </c>
      <c r="H15" s="99">
        <v>20</v>
      </c>
      <c r="I15" s="100">
        <v>60.1</v>
      </c>
    </row>
    <row r="16" spans="1:9" x14ac:dyDescent="0.25">
      <c r="A16" s="94" t="s">
        <v>113</v>
      </c>
      <c r="B16" s="98">
        <v>22467951.969999999</v>
      </c>
      <c r="C16" s="99">
        <v>20</v>
      </c>
      <c r="E16" s="96" t="s">
        <v>113</v>
      </c>
      <c r="F16" s="100">
        <v>22.4</v>
      </c>
      <c r="G16" s="100">
        <f t="shared" si="0"/>
        <v>692</v>
      </c>
      <c r="H16" s="99">
        <v>20</v>
      </c>
      <c r="I16" s="100">
        <v>34.6</v>
      </c>
    </row>
    <row r="17" spans="1:9" x14ac:dyDescent="0.25">
      <c r="A17" s="94" t="s">
        <v>114</v>
      </c>
      <c r="B17" s="98">
        <v>32190165.18</v>
      </c>
      <c r="C17" s="99">
        <v>20</v>
      </c>
      <c r="E17" s="96" t="s">
        <v>114</v>
      </c>
      <c r="F17" s="100">
        <v>46.2</v>
      </c>
      <c r="G17" s="100">
        <f t="shared" si="0"/>
        <v>1202</v>
      </c>
      <c r="H17" s="99">
        <v>20</v>
      </c>
      <c r="I17" s="100">
        <v>60.1</v>
      </c>
    </row>
    <row r="18" spans="1:9" x14ac:dyDescent="0.25">
      <c r="A18" s="94" t="s">
        <v>115</v>
      </c>
      <c r="B18" s="98">
        <v>21462193.670000002</v>
      </c>
      <c r="C18" s="99">
        <v>25</v>
      </c>
      <c r="E18" s="96" t="s">
        <v>115</v>
      </c>
      <c r="F18" s="100">
        <v>10.7</v>
      </c>
      <c r="G18" s="100">
        <f t="shared" si="0"/>
        <v>670</v>
      </c>
      <c r="H18" s="99">
        <v>25</v>
      </c>
      <c r="I18" s="100">
        <v>26.8</v>
      </c>
    </row>
    <row r="19" spans="1:9" x14ac:dyDescent="0.25">
      <c r="A19" s="94" t="s">
        <v>116</v>
      </c>
      <c r="B19" s="98">
        <v>7063050.7199999997</v>
      </c>
      <c r="C19" s="99">
        <v>20</v>
      </c>
      <c r="E19" s="96" t="s">
        <v>116</v>
      </c>
      <c r="F19" s="100">
        <v>28</v>
      </c>
      <c r="G19" s="100">
        <f t="shared" si="0"/>
        <v>994</v>
      </c>
      <c r="H19" s="99">
        <v>20</v>
      </c>
      <c r="I19" s="100">
        <v>49.7</v>
      </c>
    </row>
    <row r="20" spans="1:9" x14ac:dyDescent="0.25">
      <c r="A20" s="94" t="s">
        <v>117</v>
      </c>
      <c r="B20" s="98">
        <v>22058916.629999999</v>
      </c>
      <c r="C20" s="99">
        <v>20</v>
      </c>
      <c r="E20" s="96" t="s">
        <v>117</v>
      </c>
      <c r="F20" s="100">
        <v>10.9</v>
      </c>
      <c r="G20" s="100">
        <f t="shared" si="0"/>
        <v>402</v>
      </c>
      <c r="H20" s="99">
        <v>20</v>
      </c>
      <c r="I20" s="100">
        <v>20.100000000000001</v>
      </c>
    </row>
    <row r="21" spans="1:9" x14ac:dyDescent="0.25">
      <c r="A21" s="94" t="s">
        <v>118</v>
      </c>
      <c r="B21" s="98">
        <v>22094673.399999999</v>
      </c>
      <c r="C21" s="99">
        <v>20</v>
      </c>
      <c r="E21" s="96" t="s">
        <v>118</v>
      </c>
      <c r="F21" s="100">
        <v>13.8</v>
      </c>
      <c r="G21" s="100">
        <f t="shared" si="0"/>
        <v>484</v>
      </c>
      <c r="H21" s="99">
        <v>20</v>
      </c>
      <c r="I21" s="100">
        <v>24.2</v>
      </c>
    </row>
    <row r="22" spans="1:9" x14ac:dyDescent="0.25">
      <c r="A22" s="94" t="s">
        <v>137</v>
      </c>
      <c r="B22" s="98">
        <v>18915706.07</v>
      </c>
      <c r="C22" s="99">
        <v>20</v>
      </c>
      <c r="E22" s="94" t="s">
        <v>137</v>
      </c>
      <c r="F22" s="100">
        <v>13.8</v>
      </c>
      <c r="G22" s="100">
        <f>H22*I22</f>
        <v>484</v>
      </c>
      <c r="H22" s="99">
        <v>20</v>
      </c>
      <c r="I22" s="100">
        <v>24.2</v>
      </c>
    </row>
    <row r="23" spans="1:9" x14ac:dyDescent="0.25">
      <c r="A23" s="94" t="s">
        <v>119</v>
      </c>
      <c r="B23" s="98">
        <v>18915706.07</v>
      </c>
      <c r="C23" s="99">
        <v>20</v>
      </c>
      <c r="E23" s="96" t="s">
        <v>119</v>
      </c>
      <c r="F23" s="100">
        <v>13.8</v>
      </c>
      <c r="G23" s="100">
        <f t="shared" si="0"/>
        <v>484</v>
      </c>
      <c r="H23" s="99">
        <v>20</v>
      </c>
      <c r="I23" s="100">
        <v>24.2</v>
      </c>
    </row>
    <row r="24" spans="1:9" x14ac:dyDescent="0.25">
      <c r="A24" s="94" t="s">
        <v>120</v>
      </c>
      <c r="B24" s="98">
        <v>12349067.289999999</v>
      </c>
      <c r="C24" s="99">
        <v>35</v>
      </c>
      <c r="E24" s="96" t="s">
        <v>120</v>
      </c>
      <c r="F24" s="100">
        <v>20.3</v>
      </c>
      <c r="G24" s="100">
        <f t="shared" si="0"/>
        <v>1137.5</v>
      </c>
      <c r="H24" s="99">
        <v>35</v>
      </c>
      <c r="I24" s="100">
        <v>32.5</v>
      </c>
    </row>
    <row r="25" spans="1:9" x14ac:dyDescent="0.25">
      <c r="A25" s="94" t="s">
        <v>121</v>
      </c>
      <c r="B25" s="98">
        <v>11042981.66</v>
      </c>
      <c r="C25" s="99">
        <v>20</v>
      </c>
      <c r="E25" s="96" t="s">
        <v>122</v>
      </c>
      <c r="F25" s="100">
        <v>15.3</v>
      </c>
      <c r="G25" s="100">
        <f t="shared" si="0"/>
        <v>624</v>
      </c>
      <c r="H25" s="99">
        <v>20</v>
      </c>
      <c r="I25" s="100">
        <v>31.2</v>
      </c>
    </row>
    <row r="26" spans="1:9" x14ac:dyDescent="0.25">
      <c r="A26" s="94" t="s">
        <v>123</v>
      </c>
      <c r="B26" s="98">
        <v>57886242.659999996</v>
      </c>
      <c r="C26" s="99">
        <v>20</v>
      </c>
      <c r="E26" s="96" t="s">
        <v>123</v>
      </c>
      <c r="F26" s="100">
        <v>10.9</v>
      </c>
      <c r="G26" s="100">
        <f t="shared" si="0"/>
        <v>402</v>
      </c>
      <c r="H26" s="99">
        <v>20</v>
      </c>
      <c r="I26" s="100">
        <v>20.100000000000001</v>
      </c>
    </row>
    <row r="28" spans="1:9" ht="21" x14ac:dyDescent="0.25">
      <c r="A28" s="104" t="str">
        <f>'IPS V4.1'!P6</f>
        <v>LU21-ID01</v>
      </c>
      <c r="B28" s="106" t="str">
        <f>IF('IPS V4.1'!C14="D",'IPS V4.1'!X148*VLOOKUP(A28,A2:C26,2,FALSE)*VLOOKUP(A28,A2:C26,3,FALSE)*20160/525600,"")</f>
        <v/>
      </c>
      <c r="C28" s="101" t="s">
        <v>124</v>
      </c>
    </row>
    <row r="29" spans="1:9" ht="21" x14ac:dyDescent="0.25">
      <c r="B29" s="107" t="str">
        <f>IF(AND('IPS V4.1'!C14="C",OR('IPS V4.1'!Q14="GD121",'IPS V4.1'!Q14="PM100",'IPS V4.1'!Q14="M8")),'IPS V4.1'!X150*VLOOKUP(A28,E4:G26,2,FALSE),IF(AND('IPS V4.1'!C14="C",OR('IPS V4.1'!Q14&lt;&gt;"GD121",'IPS V4.1'!Q14="PM100",'IPS V4.1'!Q14="M8")),'IPS V4.1'!X150*VLOOKUP(A28,E4:G26,3,FALSE),""))</f>
        <v/>
      </c>
      <c r="C29" s="102" t="s">
        <v>8</v>
      </c>
    </row>
    <row r="30" spans="1:9" ht="21" x14ac:dyDescent="0.25">
      <c r="B30" s="118">
        <f>'IPS V4.1'!X152</f>
        <v>0</v>
      </c>
      <c r="C30" s="119" t="s">
        <v>125</v>
      </c>
    </row>
    <row r="31" spans="1:9" ht="21" x14ac:dyDescent="0.35">
      <c r="B31" s="108">
        <f>VLOOKUP(A28,A2:C26,3,FALSE)</f>
        <v>20</v>
      </c>
      <c r="C31" s="103" t="s">
        <v>98</v>
      </c>
    </row>
  </sheetData>
  <sheetProtection algorithmName="SHA-512" hashValue="9+tAKtdYSUzVTDrLjNbIdLYQIIAQLJK4Fqi64W0kgDZQF24SKBLn4M6klmmoPi3M0K2+I95GdrfDDDUgndNcHw==" saltValue="je0ie1dBqmuxS4+RZFqVhg==" spinCount="100000" sheet="1" objects="1" scenarios="1"/>
  <mergeCells count="2">
    <mergeCell ref="A2:C2"/>
    <mergeCell ref="E2:I2"/>
  </mergeCells>
  <phoneticPr fontId="5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B8A6406B69FE4E9BC9745DB97C7A70" ma:contentTypeVersion="19" ma:contentTypeDescription="Create a new document." ma:contentTypeScope="" ma:versionID="a9ce3b602e1461b43fe128746823218c">
  <xsd:schema xmlns:xsd="http://www.w3.org/2001/XMLSchema" xmlns:xs="http://www.w3.org/2001/XMLSchema" xmlns:p="http://schemas.microsoft.com/office/2006/metadata/properties" xmlns:ns2="c0812664-53fa-4bf5-9e9a-404d5bbffd14" xmlns:ns3="80a8e328-e59c-4a6b-b00a-ef433ea791d7" targetNamespace="http://schemas.microsoft.com/office/2006/metadata/properties" ma:root="true" ma:fieldsID="3ec18989d992071531d46473c970c6f0" ns2:_="" ns3:_="">
    <xsd:import namespace="c0812664-53fa-4bf5-9e9a-404d5bbffd14"/>
    <xsd:import namespace="80a8e328-e59c-4a6b-b00a-ef433ea791d7"/>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12664-53fa-4bf5-9e9a-404d5bbffd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150dd86-af7c-4119-8ddc-903a273d08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a8e328-e59c-4a6b-b00a-ef433ea791d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84c27fd-9f0c-4ef2-ac90-af1d3fbf4564}" ma:internalName="TaxCatchAll" ma:showField="CatchAllData" ma:web="80a8e328-e59c-4a6b-b00a-ef433ea791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0812664-53fa-4bf5-9e9a-404d5bbffd14">
      <Terms xmlns="http://schemas.microsoft.com/office/infopath/2007/PartnerControls"/>
    </lcf76f155ced4ddcb4097134ff3c332f>
    <TaxCatchAll xmlns="80a8e328-e59c-4a6b-b00a-ef433ea791d7" xsi:nil="true"/>
    <SharedWithUsers xmlns="80a8e328-e59c-4a6b-b00a-ef433ea791d7">
      <UserInfo>
        <DisplayName>Aryani, Dini</DisplayName>
        <AccountId>90</AccountId>
        <AccountType/>
      </UserInfo>
      <UserInfo>
        <DisplayName>Wibowo, Arif</DisplayName>
        <AccountId>154</AccountId>
        <AccountType/>
      </UserInfo>
      <UserInfo>
        <DisplayName>Hidayat, Dedy</DisplayName>
        <AccountId>24</AccountId>
        <AccountType/>
      </UserInfo>
      <UserInfo>
        <DisplayName>Sobari, Ahmad</DisplayName>
        <AccountId>133</AccountId>
        <AccountType/>
      </UserInfo>
      <UserInfo>
        <DisplayName>Tabarok, Ikhsan Jamal</DisplayName>
        <AccountId>193</AccountId>
        <AccountType/>
      </UserInfo>
      <UserInfo>
        <DisplayName>Surya, Muhammad Perdana</DisplayName>
        <AccountId>450</AccountId>
        <AccountType/>
      </UserInfo>
      <UserInfo>
        <DisplayName>Gunantoyo, Bowo</DisplayName>
        <AccountId>206</AccountId>
        <AccountType/>
      </UserInfo>
      <UserInfo>
        <DisplayName>Wijaya, Joan Christie</DisplayName>
        <AccountId>376</AccountId>
        <AccountType/>
      </UserInfo>
      <UserInfo>
        <DisplayName>Kurniawan, Feri (SAMPOERNA Tbk.)</DisplayName>
        <AccountId>610</AccountId>
        <AccountType/>
      </UserInfo>
      <UserInfo>
        <DisplayName>Kurniarso, Achmad</DisplayName>
        <AccountId>212</AccountId>
        <AccountType/>
      </UserInfo>
      <UserInfo>
        <DisplayName>Raharto, Thomas Dian</DisplayName>
        <AccountId>196</AccountId>
        <AccountType/>
      </UserInfo>
      <UserInfo>
        <DisplayName>Putra, Ardi</DisplayName>
        <AccountId>150</AccountId>
        <AccountType/>
      </UserInfo>
      <UserInfo>
        <DisplayName>Raharjo, Sugeng</DisplayName>
        <AccountId>173</AccountId>
        <AccountType/>
      </UserInfo>
      <UserInfo>
        <DisplayName>William, Kevin</DisplayName>
        <AccountId>1080</AccountId>
        <AccountType/>
      </UserInfo>
      <UserInfo>
        <DisplayName>Julianti, Evita</DisplayName>
        <AccountId>1564</AccountId>
        <AccountType/>
      </UserInfo>
      <UserInfo>
        <DisplayName>Sugiharto, Prayudha Prihatmoko</DisplayName>
        <AccountId>23</AccountId>
        <AccountType/>
      </UserInfo>
      <UserInfo>
        <DisplayName>Ardiansyah, Irvan Nur</DisplayName>
        <AccountId>116</AccountId>
        <AccountType/>
      </UserInfo>
      <UserInfo>
        <DisplayName>Saprudin, Uus</DisplayName>
        <AccountId>39</AccountId>
        <AccountType/>
      </UserInfo>
      <UserInfo>
        <DisplayName>Pratiwi, Endah</DisplayName>
        <AccountId>65</AccountId>
        <AccountType/>
      </UserInfo>
      <UserInfo>
        <DisplayName>Ichsan, Nur Muhammad</DisplayName>
        <AccountId>2882</AccountId>
        <AccountType/>
      </UserInfo>
      <UserInfo>
        <DisplayName>Putri, Sylvania</DisplayName>
        <AccountId>42</AccountId>
        <AccountType/>
      </UserInfo>
      <UserInfo>
        <DisplayName>Pranoto, Cecillia</DisplayName>
        <AccountId>205</AccountId>
        <AccountType/>
      </UserInfo>
      <UserInfo>
        <DisplayName>Mochamad, Willy</DisplayName>
        <AccountId>94</AccountId>
        <AccountType/>
      </UserInfo>
      <UserInfo>
        <DisplayName>Simangunsong, Debby</DisplayName>
        <AccountId>80</AccountId>
        <AccountType/>
      </UserInfo>
      <UserInfo>
        <DisplayName>Wibowo, Eko Tiyen Wahyu</DisplayName>
        <AccountId>68</AccountId>
        <AccountType/>
      </UserInfo>
      <UserInfo>
        <DisplayName>Purwanto, Oktani Rendra</DisplayName>
        <AccountId>239</AccountId>
        <AccountType/>
      </UserInfo>
      <UserInfo>
        <DisplayName>Immanuel, Evans</DisplayName>
        <AccountId>227</AccountId>
        <AccountType/>
      </UserInfo>
      <UserInfo>
        <DisplayName>Amalia, Esti Nur</DisplayName>
        <AccountId>435</AccountId>
        <AccountType/>
      </UserInfo>
      <UserInfo>
        <DisplayName>Chandra, Genesius</DisplayName>
        <AccountId>20</AccountId>
        <AccountType/>
      </UserInfo>
      <UserInfo>
        <DisplayName>Narulita, Narulita</DisplayName>
        <AccountId>2007</AccountId>
        <AccountType/>
      </UserInfo>
      <UserInfo>
        <DisplayName>Wicaksono, Adhimas Sulistyo</DisplayName>
        <AccountId>274</AccountId>
        <AccountType/>
      </UserInfo>
      <UserInfo>
        <DisplayName>Sekali, Syahril Arapenta Karo</DisplayName>
        <AccountId>200</AccountId>
        <AccountType/>
      </UserInfo>
      <UserInfo>
        <DisplayName>Susilo, Eko</DisplayName>
        <AccountId>209</AccountId>
        <AccountType/>
      </UserInfo>
      <UserInfo>
        <DisplayName>Zulianti, Zulianti</DisplayName>
        <AccountId>203</AccountId>
        <AccountType/>
      </UserInfo>
      <UserInfo>
        <DisplayName>Eresta Jaya, Jupiter</DisplayName>
        <AccountId>211</AccountId>
        <AccountType/>
      </UserInfo>
      <UserInfo>
        <DisplayName>Wijaya, Miranda Maya</DisplayName>
        <AccountId>155</AccountId>
        <AccountType/>
      </UserInfo>
      <UserInfo>
        <DisplayName>Usili, Stefanus</DisplayName>
        <AccountId>25</AccountId>
        <AccountType/>
      </UserInfo>
      <UserInfo>
        <DisplayName>Raharja, Danu</DisplayName>
        <AccountId>112</AccountId>
        <AccountType/>
      </UserInfo>
      <UserInfo>
        <DisplayName>Glory, Eternity</DisplayName>
        <AccountId>166</AccountId>
        <AccountType/>
      </UserInfo>
      <UserInfo>
        <DisplayName>Slamet, Edy Rudiyanto Bin</DisplayName>
        <AccountId>367</AccountId>
        <AccountType/>
      </UserInfo>
      <UserInfo>
        <DisplayName>Sutanto, Laura</DisplayName>
        <AccountId>103</AccountId>
        <AccountType/>
      </UserInfo>
      <UserInfo>
        <DisplayName>Mufid, Mufid</DisplayName>
        <AccountId>140</AccountId>
        <AccountType/>
      </UserInfo>
      <UserInfo>
        <DisplayName>Habibi, Ahmad</DisplayName>
        <AccountId>368</AccountId>
        <AccountType/>
      </UserInfo>
      <UserInfo>
        <DisplayName>Maulana, Hilman</DisplayName>
        <AccountId>145</AccountId>
        <AccountType/>
      </UserInfo>
      <UserInfo>
        <DisplayName>Rohim, Abdur</DisplayName>
        <AccountId>139</AccountId>
        <AccountType/>
      </UserInfo>
      <UserInfo>
        <DisplayName>Natasha, Ria</DisplayName>
        <AccountId>628</AccountId>
        <AccountType/>
      </UserInfo>
      <UserInfo>
        <DisplayName>Hanna, Elia</DisplayName>
        <AccountId>46</AccountId>
        <AccountType/>
      </UserInfo>
      <UserInfo>
        <DisplayName>Nurhayati, Rika</DisplayName>
        <AccountId>151</AccountId>
        <AccountType/>
      </UserInfo>
      <UserInfo>
        <DisplayName>Awaludin, Asep</DisplayName>
        <AccountId>2807</AccountId>
        <AccountType/>
      </UserInfo>
      <UserInfo>
        <DisplayName>Husein, Cecep Mahbub Zaeni</DisplayName>
        <AccountId>248</AccountId>
        <AccountType/>
      </UserInfo>
      <UserInfo>
        <DisplayName>Riady, Rahmad</DisplayName>
        <AccountId>256</AccountId>
        <AccountType/>
      </UserInfo>
      <UserInfo>
        <DisplayName>Anugrah, Karya Dwi</DisplayName>
        <AccountId>105</AccountId>
        <AccountType/>
      </UserInfo>
      <UserInfo>
        <DisplayName>Wibowo, Yudha Priyo</DisplayName>
        <AccountId>408</AccountId>
        <AccountType/>
      </UserInfo>
      <UserInfo>
        <DisplayName>Ikhsan, ikhsan</DisplayName>
        <AccountId>766</AccountId>
        <AccountType/>
      </UserInfo>
      <UserInfo>
        <DisplayName>Putrialuki, Rizka Martha</DisplayName>
        <AccountId>2591</AccountId>
        <AccountType/>
      </UserInfo>
      <UserInfo>
        <DisplayName>Suherman, Entus</DisplayName>
        <AccountId>1030</AccountId>
        <AccountType/>
      </UserInfo>
      <UserInfo>
        <DisplayName>Sari, Nur Maya</DisplayName>
        <AccountId>254</AccountId>
        <AccountType/>
      </UserInfo>
      <UserInfo>
        <DisplayName>Irsan, Rahmat Nurhadi</DisplayName>
        <AccountId>257</AccountId>
        <AccountType/>
      </UserInfo>
      <UserInfo>
        <DisplayName>Siregar, Gosen</DisplayName>
        <AccountId>2896</AccountId>
        <AccountType/>
      </UserInfo>
      <UserInfo>
        <DisplayName>Nurbait, Yusuf</DisplayName>
        <AccountId>1031</AccountId>
        <AccountType/>
      </UserInfo>
      <UserInfo>
        <DisplayName>Firdaus, Yulian Amin</DisplayName>
        <AccountId>131</AccountId>
        <AccountType/>
      </UserInfo>
      <UserInfo>
        <DisplayName>Aziz, Muhammad Farras</DisplayName>
        <AccountId>2014</AccountId>
        <AccountType/>
      </UserInfo>
      <UserInfo>
        <DisplayName>Rosadi, Rosadi</DisplayName>
        <AccountId>747</AccountId>
        <AccountType/>
      </UserInfo>
      <UserInfo>
        <DisplayName>Hamid, Hamid</DisplayName>
        <AccountId>286</AccountId>
        <AccountType/>
      </UserInfo>
    </SharedWithUsers>
  </documentManagement>
</p:properties>
</file>

<file path=customXml/itemProps1.xml><?xml version="1.0" encoding="utf-8"?>
<ds:datastoreItem xmlns:ds="http://schemas.openxmlformats.org/officeDocument/2006/customXml" ds:itemID="{D15A367C-8CC5-4AD3-8628-B072BCBADF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812664-53fa-4bf5-9e9a-404d5bbffd14"/>
    <ds:schemaRef ds:uri="80a8e328-e59c-4a6b-b00a-ef433ea791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425810-C75B-4953-9B34-7F5C054C2E79}">
  <ds:schemaRefs>
    <ds:schemaRef ds:uri="http://schemas.microsoft.com/sharepoint/v3/contenttype/forms"/>
  </ds:schemaRefs>
</ds:datastoreItem>
</file>

<file path=customXml/itemProps3.xml><?xml version="1.0" encoding="utf-8"?>
<ds:datastoreItem xmlns:ds="http://schemas.openxmlformats.org/officeDocument/2006/customXml" ds:itemID="{325163C4-35BA-4D66-ABC1-42A94801BFC3}">
  <ds:schemaRefs>
    <ds:schemaRef ds:uri="http://purl.org/dc/elements/1.1/"/>
    <ds:schemaRef ds:uri="http://schemas.microsoft.com/office/infopath/2007/PartnerControls"/>
    <ds:schemaRef ds:uri="80a8e328-e59c-4a6b-b00a-ef433ea791d7"/>
    <ds:schemaRef ds:uri="http://purl.org/dc/terms/"/>
    <ds:schemaRef ds:uri="http://purl.org/dc/dcmitype/"/>
    <ds:schemaRef ds:uri="http://schemas.openxmlformats.org/package/2006/metadata/core-properties"/>
    <ds:schemaRef ds:uri="http://schemas.microsoft.com/office/2006/documentManagement/types"/>
    <ds:schemaRef ds:uri="c0812664-53fa-4bf5-9e9a-404d5bbffd14"/>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8b86a65e-3c3a-4406-8ac3-19a6b5cc52bc}" enabled="0" method="" siteId="{8b86a65e-3c3a-4406-8ac3-19a6b5cc52b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IPS V4.1</vt:lpstr>
      <vt:lpstr>BCC List</vt:lpstr>
      <vt:lpstr>Extraction</vt:lpstr>
      <vt:lpstr>LE Champion Tracking</vt:lpstr>
      <vt:lpstr>Cost Impact Calculator</vt:lpstr>
      <vt:lpstr>'BCC List'!Print_Area</vt:lpstr>
      <vt:lpstr>'IPS V4.1'!Print_Area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 IPS V2.0</dc:title>
  <dc:subject/>
  <dc:creator>Aiste, Klove</dc:creator>
  <cp:keywords/>
  <dc:description/>
  <cp:lastModifiedBy>F-PMIIDKRASPM-P21</cp:lastModifiedBy>
  <cp:revision/>
  <dcterms:created xsi:type="dcterms:W3CDTF">2019-11-12T13:22:12Z</dcterms:created>
  <dcterms:modified xsi:type="dcterms:W3CDTF">2025-10-20T23:09:14Z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0x010100FFB8A6406B69FE4E9BC9745DB97C7A70</vt:lpwstr>
  </property>
  <property fmtid="{D5CDD505-2E9C-101B-9397-08002B2CF9AE}" pid="3" name="MediaServiceImageTags">
    <vt:lpwstr/>
  </property>
</Properties>
</file>